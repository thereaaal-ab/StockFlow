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BELG\Desktop\Desktop\Private\"/>
    </mc:Choice>
  </mc:AlternateContent>
  <xr:revisionPtr revIDLastSave="0" documentId="13_ncr:1_{E1457341-99A6-4978-B388-598484E8A14D}" xr6:coauthVersionLast="47" xr6:coauthVersionMax="47" xr10:uidLastSave="{00000000-0000-0000-0000-000000000000}"/>
  <bookViews>
    <workbookView xWindow="-28920" yWindow="-120" windowWidth="29040" windowHeight="15840" activeTab="1" xr2:uid="{D07D8D32-6793-4ACB-949D-2E9B2120085D}"/>
  </bookViews>
  <sheets>
    <sheet name="Store Projections" sheetId="1" r:id="rId1"/>
    <sheet name="Hardware Total" sheetId="3" r:id="rId2"/>
    <sheet name="Hardware Stock" sheetId="7" r:id="rId3"/>
    <sheet name="Hardware SameSame" sheetId="6" r:id="rId4"/>
    <sheet name="Hardware O'Comptoir" sheetId="4" r:id="rId5"/>
    <sheet name="Hardware CuzCup" sheetId="5" r:id="rId6"/>
    <sheet name="Product Gain Calculator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" l="1"/>
  <c r="K6" i="7"/>
  <c r="K7" i="7"/>
  <c r="K8" i="7"/>
  <c r="K9" i="7"/>
  <c r="K10" i="7"/>
  <c r="K11" i="7"/>
  <c r="K12" i="7"/>
  <c r="K5" i="7"/>
  <c r="K4" i="7"/>
  <c r="O12" i="7"/>
  <c r="M12" i="7"/>
  <c r="Q12" i="7" s="1"/>
  <c r="V16" i="7" s="1"/>
  <c r="O11" i="7"/>
  <c r="M11" i="7"/>
  <c r="Q11" i="7" s="1"/>
  <c r="Q10" i="7"/>
  <c r="O10" i="7"/>
  <c r="M10" i="7"/>
  <c r="O9" i="7"/>
  <c r="M9" i="7"/>
  <c r="Q9" i="7" s="1"/>
  <c r="O8" i="7"/>
  <c r="M8" i="7"/>
  <c r="Q8" i="7" s="1"/>
  <c r="O7" i="7"/>
  <c r="M7" i="7"/>
  <c r="Q7" i="7" s="1"/>
  <c r="O6" i="7"/>
  <c r="M6" i="7"/>
  <c r="Q6" i="7" s="1"/>
  <c r="O5" i="7"/>
  <c r="M5" i="7"/>
  <c r="Q5" i="7" s="1"/>
  <c r="O4" i="7"/>
  <c r="M4" i="7"/>
  <c r="Q4" i="7" s="1"/>
  <c r="K6" i="3"/>
  <c r="K7" i="3"/>
  <c r="K8" i="3"/>
  <c r="K9" i="3"/>
  <c r="K10" i="3"/>
  <c r="K11" i="3"/>
  <c r="K12" i="3"/>
  <c r="K5" i="3"/>
  <c r="K4" i="3"/>
  <c r="F12" i="3"/>
  <c r="O12" i="3" s="1"/>
  <c r="M12" i="6"/>
  <c r="K12" i="6"/>
  <c r="O12" i="6" s="1"/>
  <c r="T16" i="6" s="1"/>
  <c r="M11" i="6"/>
  <c r="K11" i="6"/>
  <c r="O11" i="6" s="1"/>
  <c r="M10" i="6"/>
  <c r="K10" i="6"/>
  <c r="O10" i="6" s="1"/>
  <c r="O9" i="6"/>
  <c r="M9" i="6"/>
  <c r="K9" i="6"/>
  <c r="M8" i="6"/>
  <c r="K8" i="6"/>
  <c r="O8" i="6" s="1"/>
  <c r="M7" i="6"/>
  <c r="K7" i="6"/>
  <c r="O7" i="6" s="1"/>
  <c r="M6" i="6"/>
  <c r="K6" i="6"/>
  <c r="O6" i="6" s="1"/>
  <c r="O5" i="6"/>
  <c r="M5" i="6"/>
  <c r="K5" i="6"/>
  <c r="M4" i="6"/>
  <c r="K4" i="6"/>
  <c r="O4" i="6" s="1"/>
  <c r="T15" i="5"/>
  <c r="T16" i="4"/>
  <c r="O4" i="4"/>
  <c r="O6" i="4"/>
  <c r="O7" i="4"/>
  <c r="O8" i="4"/>
  <c r="O9" i="4"/>
  <c r="O10" i="4"/>
  <c r="O11" i="4"/>
  <c r="O12" i="4"/>
  <c r="M6" i="4"/>
  <c r="M7" i="4"/>
  <c r="M8" i="4"/>
  <c r="M9" i="4"/>
  <c r="M10" i="4"/>
  <c r="M11" i="4"/>
  <c r="M12" i="4"/>
  <c r="M4" i="4"/>
  <c r="O12" i="5"/>
  <c r="M12" i="5"/>
  <c r="T16" i="5" s="1"/>
  <c r="O11" i="5"/>
  <c r="M11" i="5"/>
  <c r="O10" i="5"/>
  <c r="M10" i="5"/>
  <c r="O9" i="5"/>
  <c r="M9" i="5"/>
  <c r="O8" i="5"/>
  <c r="M8" i="5"/>
  <c r="O7" i="5"/>
  <c r="M7" i="5"/>
  <c r="O6" i="5"/>
  <c r="M6" i="5"/>
  <c r="O4" i="5"/>
  <c r="M4" i="5"/>
  <c r="F11" i="3"/>
  <c r="O11" i="3" s="1"/>
  <c r="F10" i="3"/>
  <c r="O10" i="3" s="1"/>
  <c r="F9" i="3"/>
  <c r="O9" i="3" s="1"/>
  <c r="F8" i="3"/>
  <c r="O8" i="3" s="1"/>
  <c r="F7" i="3"/>
  <c r="O7" i="3" s="1"/>
  <c r="F6" i="3"/>
  <c r="O6" i="3" s="1"/>
  <c r="K12" i="5"/>
  <c r="K11" i="5"/>
  <c r="K10" i="5"/>
  <c r="K9" i="5"/>
  <c r="K8" i="5"/>
  <c r="K7" i="5"/>
  <c r="K6" i="5"/>
  <c r="K5" i="5"/>
  <c r="K4" i="5"/>
  <c r="K12" i="4"/>
  <c r="K11" i="4"/>
  <c r="K10" i="4"/>
  <c r="K9" i="4"/>
  <c r="K8" i="4"/>
  <c r="K7" i="4"/>
  <c r="K6" i="4"/>
  <c r="K5" i="4"/>
  <c r="K4" i="4"/>
  <c r="M5" i="3"/>
  <c r="M6" i="3"/>
  <c r="M7" i="3"/>
  <c r="M8" i="3"/>
  <c r="M9" i="3"/>
  <c r="M10" i="3"/>
  <c r="M11" i="3"/>
  <c r="M12" i="3"/>
  <c r="M4" i="3"/>
  <c r="AF6" i="2"/>
  <c r="X6" i="2"/>
  <c r="V6" i="2"/>
  <c r="Z6" i="2" s="1"/>
  <c r="K6" i="2"/>
  <c r="AB6" i="2" s="1"/>
  <c r="AJ6" i="2" s="1"/>
  <c r="AP4" i="2"/>
  <c r="AP5" i="2"/>
  <c r="AP2" i="2"/>
  <c r="AL5" i="2"/>
  <c r="AJ5" i="2"/>
  <c r="AH5" i="2"/>
  <c r="AF5" i="2"/>
  <c r="AB5" i="2"/>
  <c r="Z5" i="2"/>
  <c r="X5" i="2"/>
  <c r="V5" i="2" s="1"/>
  <c r="K5" i="2"/>
  <c r="AL3" i="2"/>
  <c r="AL4" i="2"/>
  <c r="AL2" i="2"/>
  <c r="AJ3" i="2"/>
  <c r="AJ4" i="2"/>
  <c r="AJ2" i="2"/>
  <c r="AF4" i="2"/>
  <c r="AH4" i="2" s="1"/>
  <c r="AB4" i="2"/>
  <c r="Z4" i="2"/>
  <c r="X4" i="2"/>
  <c r="V4" i="2" s="1"/>
  <c r="K4" i="2"/>
  <c r="AF3" i="2"/>
  <c r="X3" i="2"/>
  <c r="V3" i="2" s="1"/>
  <c r="Z3" i="2" s="1"/>
  <c r="M3" i="2"/>
  <c r="K3" i="2"/>
  <c r="AF2" i="2"/>
  <c r="R2" i="2"/>
  <c r="X2" i="2" s="1"/>
  <c r="V2" i="2" s="1"/>
  <c r="Z2" i="2" s="1"/>
  <c r="M2" i="2"/>
  <c r="K2" i="2"/>
  <c r="L17" i="1"/>
  <c r="D17" i="1"/>
  <c r="E17" i="1" s="1"/>
  <c r="L21" i="1"/>
  <c r="M21" i="1" s="1"/>
  <c r="L20" i="1"/>
  <c r="M20" i="1" s="1"/>
  <c r="L19" i="1"/>
  <c r="M19" i="1" s="1"/>
  <c r="L18" i="1"/>
  <c r="M18" i="1" s="1"/>
  <c r="M17" i="1"/>
  <c r="N17" i="1"/>
  <c r="F17" i="1"/>
  <c r="D18" i="1"/>
  <c r="E18" i="1" s="1"/>
  <c r="D21" i="1"/>
  <c r="E21" i="1" s="1"/>
  <c r="D20" i="1"/>
  <c r="E20" i="1" s="1"/>
  <c r="D19" i="1"/>
  <c r="E19" i="1" s="1"/>
  <c r="V15" i="7" l="1"/>
  <c r="T15" i="6"/>
  <c r="Q10" i="3"/>
  <c r="Q9" i="3"/>
  <c r="Q12" i="3"/>
  <c r="V16" i="3" s="1"/>
  <c r="Q11" i="3"/>
  <c r="Q8" i="3"/>
  <c r="Q7" i="3"/>
  <c r="Q6" i="3"/>
  <c r="AH6" i="2"/>
  <c r="AL6" i="2"/>
  <c r="AB3" i="2"/>
  <c r="AH3" i="2" s="1"/>
  <c r="AP3" i="2" s="1"/>
  <c r="AB2" i="2"/>
  <c r="AH2" i="2" s="1"/>
  <c r="E24" i="1"/>
  <c r="E26" i="1" s="1"/>
  <c r="M24" i="1"/>
  <c r="L24" i="1"/>
  <c r="D24" i="1"/>
  <c r="I28" i="1" l="1"/>
  <c r="F4" i="3"/>
  <c r="O5" i="3"/>
  <c r="Q5" i="3"/>
  <c r="Q4" i="3" l="1"/>
  <c r="V15" i="3" s="1"/>
  <c r="O4" i="3"/>
  <c r="M5" i="4"/>
  <c r="O5" i="4"/>
  <c r="T15" i="4"/>
  <c r="M5" i="5"/>
  <c r="O5" i="5"/>
</calcChain>
</file>

<file path=xl/sharedStrings.xml><?xml version="1.0" encoding="utf-8"?>
<sst xmlns="http://schemas.openxmlformats.org/spreadsheetml/2006/main" count="205" uniqueCount="77">
  <si>
    <t>Hardware</t>
  </si>
  <si>
    <t>Starter Pack</t>
  </si>
  <si>
    <t>Location</t>
  </si>
  <si>
    <t>Achat</t>
  </si>
  <si>
    <t>Par an</t>
  </si>
  <si>
    <t>2 ans</t>
  </si>
  <si>
    <t>3 ans</t>
  </si>
  <si>
    <t>4 ans</t>
  </si>
  <si>
    <t>5 ans</t>
  </si>
  <si>
    <t>Location mensuel</t>
  </si>
  <si>
    <t>Brut</t>
  </si>
  <si>
    <t>Net</t>
  </si>
  <si>
    <t>ROI</t>
  </si>
  <si>
    <t>App</t>
  </si>
  <si>
    <t>Stores number Achat</t>
  </si>
  <si>
    <t>Stores number Location</t>
  </si>
  <si>
    <t>10 ans</t>
  </si>
  <si>
    <t>Store count</t>
  </si>
  <si>
    <t>Produit</t>
  </si>
  <si>
    <t>Prix d'achat Unité</t>
  </si>
  <si>
    <t>Kilo Unité</t>
  </si>
  <si>
    <t>Quantité</t>
  </si>
  <si>
    <t>Prix Total</t>
  </si>
  <si>
    <t>Kilo Total</t>
  </si>
  <si>
    <t>Projecteur</t>
  </si>
  <si>
    <t>Prix par kilo</t>
  </si>
  <si>
    <t>Cout logistique Unité</t>
  </si>
  <si>
    <t>Cout logistique Total</t>
  </si>
  <si>
    <t>Prix de revient unité</t>
  </si>
  <si>
    <t>Prix de revient total</t>
  </si>
  <si>
    <t>Prix de vente unité</t>
  </si>
  <si>
    <t>Prix de vente total</t>
  </si>
  <si>
    <t>Lon</t>
  </si>
  <si>
    <t>Lar</t>
  </si>
  <si>
    <t>Hau</t>
  </si>
  <si>
    <t>Total Volumetrique</t>
  </si>
  <si>
    <t>Benefice Net</t>
  </si>
  <si>
    <t>Airpods</t>
  </si>
  <si>
    <t>Serrure</t>
  </si>
  <si>
    <t>Investissement</t>
  </si>
  <si>
    <t>Benefice Net %</t>
  </si>
  <si>
    <t>Protection écran</t>
  </si>
  <si>
    <t xml:space="preserve">Pourcent investisseurs </t>
  </si>
  <si>
    <t>Retour investisseurs</t>
  </si>
  <si>
    <t>Shoes</t>
  </si>
  <si>
    <t>Buy</t>
  </si>
  <si>
    <t>Sell</t>
  </si>
  <si>
    <t>AKSP-21</t>
  </si>
  <si>
    <t>AKSP-27</t>
  </si>
  <si>
    <t>AKSP-32</t>
  </si>
  <si>
    <t>PW-02</t>
  </si>
  <si>
    <t>Product Code</t>
  </si>
  <si>
    <t>Product Name</t>
  </si>
  <si>
    <t>Kiosk 21.5</t>
  </si>
  <si>
    <t>Kiosk 32</t>
  </si>
  <si>
    <t>Imprimante</t>
  </si>
  <si>
    <t>AT-11</t>
  </si>
  <si>
    <t>Tablette 11 pouces</t>
  </si>
  <si>
    <t>BFSK-01</t>
  </si>
  <si>
    <t>BFSK-02</t>
  </si>
  <si>
    <t>BFSK-03</t>
  </si>
  <si>
    <t>Télécommande Bipper</t>
  </si>
  <si>
    <t>Base de charge Bipper</t>
  </si>
  <si>
    <t>Biper FSK</t>
  </si>
  <si>
    <t>SN-1</t>
  </si>
  <si>
    <t>SNIUP Licence</t>
  </si>
  <si>
    <t>Quantity</t>
  </si>
  <si>
    <t>Net value</t>
  </si>
  <si>
    <t>Kiosk 27</t>
  </si>
  <si>
    <t>One Shot</t>
  </si>
  <si>
    <t>Monthly</t>
  </si>
  <si>
    <t>Total value</t>
  </si>
  <si>
    <t>Total net value</t>
  </si>
  <si>
    <t>Hardware Investment</t>
  </si>
  <si>
    <t>Total Investment</t>
  </si>
  <si>
    <t>Cost total</t>
  </si>
  <si>
    <t>Hardware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</si>
</sst>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7F7F7F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medium">
        <color theme="4" tint="0.39997558519241921"/>
      </top>
      <bottom/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7" applyNumberFormat="0" applyFill="0" applyAlignment="0" applyProtection="0"/>
    <xf numFmtId="0" fontId="7" fillId="0" borderId="8" applyNumberFormat="0" applyFill="0" applyAlignment="0" applyProtection="0"/>
    <xf numFmtId="0" fontId="8" fillId="4" borderId="0" applyNumberFormat="0" applyBorder="0" applyAlignment="0" applyProtection="0"/>
    <xf numFmtId="0" fontId="9" fillId="5" borderId="9" applyNumberFormat="0" applyAlignment="0" applyProtection="0"/>
    <xf numFmtId="0" fontId="10" fillId="6" borderId="10" applyNumberFormat="0" applyAlignment="0" applyProtection="0"/>
    <xf numFmtId="0" fontId="11" fillId="6" borderId="9" applyNumberFormat="0" applyAlignment="0" applyProtection="0"/>
    <xf numFmtId="0" fontId="2" fillId="0" borderId="11" applyNumberFormat="0" applyFill="0" applyAlignment="0" applyProtection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1" applyFont="1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164" fontId="3" fillId="0" borderId="0" xfId="0" applyNumberFormat="1" applyFont="1"/>
    <xf numFmtId="164" fontId="4" fillId="0" borderId="0" xfId="1" applyFont="1"/>
    <xf numFmtId="164" fontId="5" fillId="0" borderId="0" xfId="0" applyNumberFormat="1" applyFont="1"/>
    <xf numFmtId="164" fontId="4" fillId="0" borderId="0" xfId="0" applyNumberFormat="1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6" xfId="0" applyBorder="1"/>
    <xf numFmtId="0" fontId="2" fillId="0" borderId="6" xfId="0" applyFont="1" applyBorder="1"/>
    <xf numFmtId="164" fontId="3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1" xfId="3" applyBorder="1" applyAlignment="1">
      <alignment horizontal="center"/>
    </xf>
    <xf numFmtId="0" fontId="1" fillId="3" borderId="2" xfId="3" applyBorder="1" applyAlignment="1">
      <alignment horizontal="center"/>
    </xf>
    <xf numFmtId="0" fontId="1" fillId="3" borderId="3" xfId="3" applyBorder="1" applyAlignment="1">
      <alignment horizontal="center"/>
    </xf>
    <xf numFmtId="0" fontId="1" fillId="2" borderId="1" xfId="2" applyBorder="1" applyAlignment="1">
      <alignment horizontal="center"/>
    </xf>
    <xf numFmtId="0" fontId="1" fillId="2" borderId="2" xfId="2" applyBorder="1" applyAlignment="1">
      <alignment horizontal="center"/>
    </xf>
    <xf numFmtId="0" fontId="1" fillId="2" borderId="3" xfId="2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1" fillId="6" borderId="9" xfId="9" applyAlignment="1">
      <alignment horizontal="center"/>
    </xf>
    <xf numFmtId="0" fontId="11" fillId="6" borderId="9" xfId="9" applyAlignment="1">
      <alignment horizontal="center"/>
    </xf>
    <xf numFmtId="0" fontId="11" fillId="6" borderId="9" xfId="9"/>
    <xf numFmtId="0" fontId="8" fillId="4" borderId="9" xfId="6" applyBorder="1" applyAlignment="1">
      <alignment horizontal="center"/>
    </xf>
    <xf numFmtId="164" fontId="8" fillId="4" borderId="0" xfId="6" applyNumberFormat="1" applyAlignment="1">
      <alignment horizontal="center"/>
    </xf>
    <xf numFmtId="0" fontId="9" fillId="5" borderId="9" xfId="7" applyAlignment="1">
      <alignment horizontal="center"/>
    </xf>
    <xf numFmtId="0" fontId="9" fillId="5" borderId="9" xfId="7" applyAlignment="1">
      <alignment horizontal="center"/>
    </xf>
    <xf numFmtId="164" fontId="9" fillId="5" borderId="9" xfId="7" applyNumberFormat="1" applyAlignment="1">
      <alignment horizontal="left"/>
    </xf>
    <xf numFmtId="0" fontId="9" fillId="5" borderId="9" xfId="7" applyAlignment="1"/>
    <xf numFmtId="1" fontId="10" fillId="6" borderId="10" xfId="8" applyNumberFormat="1" applyAlignment="1">
      <alignment horizontal="center"/>
    </xf>
    <xf numFmtId="164" fontId="10" fillId="6" borderId="10" xfId="8" applyNumberFormat="1" applyAlignment="1">
      <alignment horizontal="center"/>
    </xf>
    <xf numFmtId="44" fontId="10" fillId="6" borderId="10" xfId="8" applyNumberFormat="1" applyAlignment="1">
      <alignment horizontal="center"/>
    </xf>
    <xf numFmtId="0" fontId="10" fillId="6" borderId="10" xfId="8" applyAlignment="1">
      <alignment horizontal="center"/>
    </xf>
    <xf numFmtId="164" fontId="9" fillId="5" borderId="9" xfId="7" applyNumberFormat="1" applyAlignment="1">
      <alignment horizontal="center"/>
    </xf>
    <xf numFmtId="0" fontId="0" fillId="0" borderId="12" xfId="0" applyBorder="1" applyAlignment="1">
      <alignment horizontal="center"/>
    </xf>
    <xf numFmtId="164" fontId="10" fillId="6" borderId="13" xfId="8" applyNumberFormat="1" applyBorder="1" applyAlignment="1">
      <alignment horizontal="center"/>
    </xf>
    <xf numFmtId="164" fontId="10" fillId="6" borderId="14" xfId="8" applyNumberFormat="1" applyBorder="1" applyAlignment="1">
      <alignment horizontal="center"/>
    </xf>
    <xf numFmtId="164" fontId="9" fillId="5" borderId="15" xfId="7" applyNumberFormat="1" applyBorder="1" applyAlignment="1">
      <alignment horizontal="center"/>
    </xf>
    <xf numFmtId="164" fontId="9" fillId="5" borderId="16" xfId="7" applyNumberFormat="1" applyBorder="1" applyAlignment="1">
      <alignment horizontal="center"/>
    </xf>
    <xf numFmtId="0" fontId="11" fillId="6" borderId="17" xfId="9" applyBorder="1" applyAlignment="1">
      <alignment horizontal="center"/>
    </xf>
    <xf numFmtId="0" fontId="11" fillId="6" borderId="18" xfId="9" applyBorder="1" applyAlignment="1">
      <alignment horizontal="center"/>
    </xf>
    <xf numFmtId="1" fontId="9" fillId="5" borderId="9" xfId="7" applyNumberFormat="1" applyAlignment="1">
      <alignment horizontal="center"/>
    </xf>
    <xf numFmtId="9" fontId="0" fillId="0" borderId="19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44" fontId="0" fillId="0" borderId="1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6" fillId="0" borderId="7" xfId="4" applyAlignment="1">
      <alignment horizontal="center"/>
    </xf>
    <xf numFmtId="0" fontId="6" fillId="0" borderId="7" xfId="4" applyAlignment="1"/>
    <xf numFmtId="0" fontId="7" fillId="0" borderId="8" xfId="5" applyAlignment="1">
      <alignment horizontal="center"/>
    </xf>
    <xf numFmtId="0" fontId="7" fillId="0" borderId="8" xfId="5" applyAlignment="1"/>
    <xf numFmtId="0" fontId="6" fillId="0" borderId="7" xfId="4"/>
    <xf numFmtId="164" fontId="13" fillId="0" borderId="0" xfId="1" applyFont="1" applyAlignment="1">
      <alignment horizontal="center"/>
    </xf>
    <xf numFmtId="164" fontId="14" fillId="0" borderId="20" xfId="1" applyFont="1" applyBorder="1" applyAlignment="1">
      <alignment horizontal="center"/>
    </xf>
    <xf numFmtId="164" fontId="14" fillId="0" borderId="0" xfId="1" applyFont="1" applyBorder="1" applyAlignment="1">
      <alignment horizontal="center"/>
    </xf>
    <xf numFmtId="164" fontId="15" fillId="0" borderId="20" xfId="1" applyFont="1" applyBorder="1" applyAlignment="1">
      <alignment horizontal="center"/>
    </xf>
    <xf numFmtId="164" fontId="15" fillId="0" borderId="0" xfId="1" applyFont="1" applyBorder="1" applyAlignment="1">
      <alignment horizontal="center"/>
    </xf>
    <xf numFmtId="0" fontId="2" fillId="0" borderId="11" xfId="10" applyAlignment="1">
      <alignment horizontal="center"/>
    </xf>
    <xf numFmtId="164" fontId="13" fillId="0" borderId="20" xfId="1" applyFont="1" applyBorder="1" applyAlignment="1">
      <alignment horizontal="center"/>
    </xf>
    <xf numFmtId="164" fontId="15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16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</cellXfs>
  <cellStyles count="11">
    <cellStyle name="20% - Accent5" xfId="2" builtinId="46"/>
    <cellStyle name="20% - Accent6" xfId="3" builtinId="50"/>
    <cellStyle name="Calculation" xfId="9" builtinId="22"/>
    <cellStyle name="Currency" xfId="1" builtinId="4"/>
    <cellStyle name="Good" xfId="6" builtinId="26"/>
    <cellStyle name="Heading 1" xfId="4" builtinId="16"/>
    <cellStyle name="Heading 3" xfId="5" builtinId="18"/>
    <cellStyle name="Input" xfId="7" builtinId="20"/>
    <cellStyle name="Normal" xfId="0" builtinId="0"/>
    <cellStyle name="Output" xfId="8" builtinId="21"/>
    <cellStyle name="Total" xfId="10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21BC-A1CE-48A4-AAD4-728C237C8D7E}">
  <dimension ref="A1:Q28"/>
  <sheetViews>
    <sheetView workbookViewId="0">
      <selection activeCell="C4" sqref="C4"/>
    </sheetView>
  </sheetViews>
  <sheetFormatPr defaultRowHeight="15" x14ac:dyDescent="0.25"/>
  <cols>
    <col min="1" max="1" width="11" bestFit="1" customWidth="1"/>
    <col min="3" max="3" width="10.5703125" bestFit="1" customWidth="1"/>
    <col min="4" max="4" width="14.7109375" bestFit="1" customWidth="1"/>
    <col min="5" max="5" width="22.28515625" bestFit="1" customWidth="1"/>
    <col min="6" max="6" width="3.85546875" bestFit="1" customWidth="1"/>
    <col min="9" max="9" width="20.28515625" bestFit="1" customWidth="1"/>
    <col min="12" max="13" width="13.140625" bestFit="1" customWidth="1"/>
  </cols>
  <sheetData>
    <row r="1" spans="1:17" x14ac:dyDescent="0.25">
      <c r="A1" s="2" t="s">
        <v>0</v>
      </c>
      <c r="C1" s="2" t="s">
        <v>1</v>
      </c>
      <c r="E1" s="2" t="s">
        <v>15</v>
      </c>
      <c r="F1" s="16" t="s">
        <v>14</v>
      </c>
      <c r="G1" s="16"/>
      <c r="H1" s="16"/>
      <c r="I1" s="2" t="s">
        <v>17</v>
      </c>
    </row>
    <row r="2" spans="1:17" x14ac:dyDescent="0.25">
      <c r="A2" s="8">
        <v>1018</v>
      </c>
      <c r="C2" s="15">
        <v>0</v>
      </c>
      <c r="E2" s="3">
        <v>7</v>
      </c>
      <c r="F2" s="17">
        <v>0</v>
      </c>
      <c r="G2" s="17"/>
      <c r="H2" s="17"/>
      <c r="I2">
        <v>3</v>
      </c>
    </row>
    <row r="7" spans="1:17" ht="15.75" thickBot="1" x14ac:dyDescent="0.3"/>
    <row r="8" spans="1:17" ht="15.75" thickBot="1" x14ac:dyDescent="0.3">
      <c r="A8" s="18" t="s">
        <v>2</v>
      </c>
      <c r="B8" s="19"/>
      <c r="C8" s="19"/>
      <c r="D8" s="19"/>
      <c r="E8" s="19"/>
      <c r="F8" s="19"/>
      <c r="G8" s="19"/>
      <c r="H8" s="20"/>
      <c r="I8" s="21" t="s">
        <v>3</v>
      </c>
      <c r="J8" s="22"/>
      <c r="K8" s="22"/>
      <c r="L8" s="22"/>
      <c r="M8" s="22"/>
      <c r="N8" s="22"/>
      <c r="O8" s="22"/>
      <c r="P8" s="22"/>
      <c r="Q8" s="23"/>
    </row>
    <row r="9" spans="1:17" x14ac:dyDescent="0.25">
      <c r="A9" s="2"/>
      <c r="B9" s="24" t="s">
        <v>9</v>
      </c>
      <c r="C9" s="24"/>
      <c r="D9" s="4">
        <v>180</v>
      </c>
      <c r="E9" s="2"/>
      <c r="F9" s="2"/>
      <c r="G9" s="2"/>
      <c r="H9" s="2"/>
      <c r="I9" s="11"/>
      <c r="J9" s="24" t="s">
        <v>3</v>
      </c>
      <c r="K9" s="24"/>
      <c r="L9" s="4">
        <v>1800</v>
      </c>
      <c r="M9" s="2"/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/>
      <c r="G10" s="2"/>
      <c r="H10" s="2"/>
      <c r="I10" s="12"/>
      <c r="J10" s="16" t="s">
        <v>13</v>
      </c>
      <c r="K10" s="16"/>
      <c r="L10" s="4">
        <v>50</v>
      </c>
      <c r="M10" s="2"/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I11" s="1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/>
      <c r="G12" s="2"/>
      <c r="H12" s="2"/>
      <c r="I12" s="1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1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/>
      <c r="G14" s="2"/>
      <c r="H14" s="2"/>
      <c r="I14" s="1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/>
      <c r="G15" s="2"/>
      <c r="H15" s="2"/>
      <c r="I15" s="1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D16" s="2" t="s">
        <v>10</v>
      </c>
      <c r="E16" s="2" t="s">
        <v>11</v>
      </c>
      <c r="F16" s="2" t="s">
        <v>12</v>
      </c>
      <c r="I16" s="13"/>
      <c r="L16" s="2" t="s">
        <v>10</v>
      </c>
      <c r="M16" s="2" t="s">
        <v>11</v>
      </c>
      <c r="N16" s="2" t="s">
        <v>12</v>
      </c>
    </row>
    <row r="17" spans="1:14" x14ac:dyDescent="0.25">
      <c r="A17" s="1" t="s">
        <v>4</v>
      </c>
      <c r="D17" s="5">
        <f>(D9*E2)*12+(A2*E2)</f>
        <v>22246</v>
      </c>
      <c r="E17" s="7">
        <f>(D17-(A2*E2))+C2</f>
        <v>15120</v>
      </c>
      <c r="F17" s="6">
        <f>A2/D9</f>
        <v>5.6555555555555559</v>
      </c>
      <c r="I17" s="14" t="s">
        <v>4</v>
      </c>
      <c r="L17" s="5">
        <f>(L9*F2)+((L10*12)*F2)+C2</f>
        <v>0</v>
      </c>
      <c r="M17" s="7">
        <f>L17-A2</f>
        <v>-1018</v>
      </c>
      <c r="N17" s="6">
        <f>I2/L9</f>
        <v>1.6666666666666668E-3</v>
      </c>
    </row>
    <row r="18" spans="1:14" x14ac:dyDescent="0.25">
      <c r="A18" s="1" t="s">
        <v>5</v>
      </c>
      <c r="D18" s="5">
        <f>(D9*E2)*24</f>
        <v>30240</v>
      </c>
      <c r="E18" s="7">
        <f>D18</f>
        <v>30240</v>
      </c>
      <c r="I18" s="14" t="s">
        <v>5</v>
      </c>
      <c r="L18" s="5">
        <f>(L9*F2)+((L10*12)*F2)+C2</f>
        <v>0</v>
      </c>
      <c r="M18" s="7">
        <f>L18</f>
        <v>0</v>
      </c>
    </row>
    <row r="19" spans="1:14" x14ac:dyDescent="0.25">
      <c r="A19" s="1" t="s">
        <v>6</v>
      </c>
      <c r="D19" s="5">
        <f>(D9*E2)*36</f>
        <v>45360</v>
      </c>
      <c r="E19" s="7">
        <f t="shared" ref="E19:E21" si="0">D19</f>
        <v>45360</v>
      </c>
      <c r="I19" s="14" t="s">
        <v>6</v>
      </c>
      <c r="L19" s="5">
        <f>(L9*F2)+((L10*12)*F2)+C2</f>
        <v>0</v>
      </c>
      <c r="M19" s="7">
        <f t="shared" ref="M19:M21" si="1">L19</f>
        <v>0</v>
      </c>
    </row>
    <row r="20" spans="1:14" x14ac:dyDescent="0.25">
      <c r="A20" s="1" t="s">
        <v>7</v>
      </c>
      <c r="D20" s="5">
        <f>(D9*E2)*48</f>
        <v>60480</v>
      </c>
      <c r="E20" s="7">
        <f t="shared" si="0"/>
        <v>60480</v>
      </c>
      <c r="I20" s="14" t="s">
        <v>7</v>
      </c>
      <c r="L20" s="5">
        <f>(L9*F2)+((L10*12)*F2)+C2</f>
        <v>0</v>
      </c>
      <c r="M20" s="7">
        <f t="shared" si="1"/>
        <v>0</v>
      </c>
    </row>
    <row r="21" spans="1:14" x14ac:dyDescent="0.25">
      <c r="A21" s="1" t="s">
        <v>8</v>
      </c>
      <c r="D21" s="5">
        <f>(D9*E2)*60</f>
        <v>75600</v>
      </c>
      <c r="E21" s="7">
        <f t="shared" si="0"/>
        <v>75600</v>
      </c>
      <c r="I21" s="14" t="s">
        <v>8</v>
      </c>
      <c r="L21" s="5">
        <f>(L9*F2)+((L10*12)*F2)+C2</f>
        <v>0</v>
      </c>
      <c r="M21" s="7">
        <f t="shared" si="1"/>
        <v>0</v>
      </c>
    </row>
    <row r="22" spans="1:14" x14ac:dyDescent="0.25">
      <c r="I22" s="13"/>
    </row>
    <row r="23" spans="1:14" x14ac:dyDescent="0.25">
      <c r="I23" s="13"/>
    </row>
    <row r="24" spans="1:14" x14ac:dyDescent="0.25">
      <c r="D24" s="10">
        <f>SUM(D17:D21)</f>
        <v>233926</v>
      </c>
      <c r="E24" s="7">
        <f>SUM(E17:E21)</f>
        <v>226800</v>
      </c>
      <c r="I24" s="13"/>
      <c r="L24" s="10">
        <f>SUM(L17:L21)</f>
        <v>0</v>
      </c>
      <c r="M24" s="7">
        <f>SUM(M17:M21)</f>
        <v>-1018</v>
      </c>
    </row>
    <row r="25" spans="1:14" x14ac:dyDescent="0.25">
      <c r="E25" s="5"/>
      <c r="I25" s="1" t="s">
        <v>16</v>
      </c>
    </row>
    <row r="26" spans="1:14" x14ac:dyDescent="0.25">
      <c r="A26" s="1" t="s">
        <v>16</v>
      </c>
      <c r="E26" s="5">
        <f>E24*2</f>
        <v>453600</v>
      </c>
    </row>
    <row r="28" spans="1:14" ht="18.75" x14ac:dyDescent="0.3">
      <c r="I28" s="9">
        <f>E24+M24</f>
        <v>225782</v>
      </c>
    </row>
  </sheetData>
  <mergeCells count="7">
    <mergeCell ref="F1:H1"/>
    <mergeCell ref="J10:K10"/>
    <mergeCell ref="F2:H2"/>
    <mergeCell ref="A8:H8"/>
    <mergeCell ref="I8:Q8"/>
    <mergeCell ref="B9:C9"/>
    <mergeCell ref="J9:K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DD14-165B-40F1-B899-E930C52B1844}">
  <dimension ref="A1:W23"/>
  <sheetViews>
    <sheetView tabSelected="1" workbookViewId="0">
      <selection activeCell="F28" sqref="F28"/>
    </sheetView>
  </sheetViews>
  <sheetFormatPr defaultRowHeight="15" x14ac:dyDescent="0.25"/>
  <cols>
    <col min="23" max="23" width="9.140625" customWidth="1"/>
  </cols>
  <sheetData>
    <row r="1" spans="1:23" ht="20.25" thickBot="1" x14ac:dyDescent="0.35">
      <c r="A1" s="51" t="s">
        <v>0</v>
      </c>
      <c r="B1" s="51"/>
    </row>
    <row r="2" spans="1:23" ht="15.75" thickTop="1" x14ac:dyDescent="0.25"/>
    <row r="3" spans="1:23" ht="15.75" thickBot="1" x14ac:dyDescent="0.3">
      <c r="A3" s="53" t="s">
        <v>51</v>
      </c>
      <c r="B3" s="53"/>
      <c r="C3" s="53" t="s">
        <v>52</v>
      </c>
      <c r="D3" s="53"/>
      <c r="E3" s="53"/>
      <c r="F3" s="54" t="s">
        <v>66</v>
      </c>
      <c r="G3" s="53" t="s">
        <v>45</v>
      </c>
      <c r="H3" s="53"/>
      <c r="I3" s="53" t="s">
        <v>46</v>
      </c>
      <c r="J3" s="53"/>
      <c r="K3" s="53" t="s">
        <v>75</v>
      </c>
      <c r="L3" s="53"/>
      <c r="M3" s="53" t="s">
        <v>67</v>
      </c>
      <c r="N3" s="53"/>
      <c r="O3" s="53" t="s">
        <v>71</v>
      </c>
      <c r="P3" s="53"/>
      <c r="Q3" s="53" t="s">
        <v>72</v>
      </c>
      <c r="R3" s="53"/>
    </row>
    <row r="4" spans="1:23" x14ac:dyDescent="0.25">
      <c r="A4" s="50" t="s">
        <v>47</v>
      </c>
      <c r="B4" s="50"/>
      <c r="C4" s="17" t="s">
        <v>53</v>
      </c>
      <c r="D4" s="17"/>
      <c r="E4" s="17"/>
      <c r="F4" s="3">
        <f>'Hardware O''Comptoir'!F4+'Hardware CuzCup'!F4</f>
        <v>3</v>
      </c>
      <c r="G4" s="57">
        <v>500</v>
      </c>
      <c r="H4" s="57"/>
      <c r="I4" s="59">
        <v>1699.99</v>
      </c>
      <c r="J4" s="59"/>
      <c r="K4" s="59">
        <f>F4*G4</f>
        <v>1500</v>
      </c>
      <c r="L4" s="59"/>
      <c r="M4" s="56">
        <f>I4-G4</f>
        <v>1199.99</v>
      </c>
      <c r="N4" s="56"/>
      <c r="O4" s="59">
        <f>F4*I4</f>
        <v>5099.97</v>
      </c>
      <c r="P4" s="59"/>
      <c r="Q4" s="62">
        <f>F4*M4</f>
        <v>3599.9700000000003</v>
      </c>
      <c r="R4" s="62"/>
    </row>
    <row r="5" spans="1:23" x14ac:dyDescent="0.25">
      <c r="A5" s="50" t="s">
        <v>48</v>
      </c>
      <c r="B5" s="50"/>
      <c r="C5" s="17" t="s">
        <v>68</v>
      </c>
      <c r="D5" s="17"/>
      <c r="E5" s="17"/>
      <c r="F5" s="3">
        <v>0</v>
      </c>
      <c r="G5" s="58">
        <v>680</v>
      </c>
      <c r="H5" s="58"/>
      <c r="I5" s="60">
        <v>2100</v>
      </c>
      <c r="J5" s="60"/>
      <c r="K5" s="60">
        <f>F5*G5</f>
        <v>0</v>
      </c>
      <c r="L5" s="60"/>
      <c r="M5" s="56">
        <f t="shared" ref="M5:M12" si="0">I5-G5</f>
        <v>1420</v>
      </c>
      <c r="N5" s="56"/>
      <c r="O5" s="63">
        <f>F5*I5</f>
        <v>0</v>
      </c>
      <c r="P5" s="63"/>
      <c r="Q5" s="56">
        <f>F5*M5</f>
        <v>0</v>
      </c>
      <c r="R5" s="56"/>
    </row>
    <row r="6" spans="1:23" x14ac:dyDescent="0.25">
      <c r="A6" s="50" t="s">
        <v>49</v>
      </c>
      <c r="B6" s="50"/>
      <c r="C6" s="17" t="s">
        <v>54</v>
      </c>
      <c r="D6" s="17"/>
      <c r="E6" s="17"/>
      <c r="F6" s="3">
        <f>'Hardware O''Comptoir'!F6+'Hardware CuzCup'!F6</f>
        <v>3</v>
      </c>
      <c r="G6" s="58">
        <v>800</v>
      </c>
      <c r="H6" s="58"/>
      <c r="I6" s="60">
        <v>2799.99</v>
      </c>
      <c r="J6" s="60"/>
      <c r="K6" s="60">
        <f t="shared" ref="K6:K12" si="1">F6*G6</f>
        <v>2400</v>
      </c>
      <c r="L6" s="60"/>
      <c r="M6" s="56">
        <f t="shared" si="0"/>
        <v>1999.9899999999998</v>
      </c>
      <c r="N6" s="56"/>
      <c r="O6" s="63">
        <f t="shared" ref="O6:O12" si="2">F6*I6</f>
        <v>8399.9699999999993</v>
      </c>
      <c r="P6" s="63"/>
      <c r="Q6" s="56">
        <f t="shared" ref="Q6:Q12" si="3">F6*M6</f>
        <v>5999.9699999999993</v>
      </c>
      <c r="R6" s="56"/>
    </row>
    <row r="7" spans="1:23" x14ac:dyDescent="0.25">
      <c r="A7" s="50" t="s">
        <v>50</v>
      </c>
      <c r="B7" s="50"/>
      <c r="C7" s="17" t="s">
        <v>55</v>
      </c>
      <c r="D7" s="17"/>
      <c r="E7" s="17"/>
      <c r="F7" s="3">
        <f>'Hardware O''Comptoir'!F7+'Hardware CuzCup'!F7</f>
        <v>2</v>
      </c>
      <c r="G7" s="58">
        <v>80</v>
      </c>
      <c r="H7" s="58"/>
      <c r="I7" s="60">
        <v>179.88</v>
      </c>
      <c r="J7" s="60"/>
      <c r="K7" s="60">
        <f t="shared" si="1"/>
        <v>160</v>
      </c>
      <c r="L7" s="60"/>
      <c r="M7" s="56">
        <f t="shared" si="0"/>
        <v>99.88</v>
      </c>
      <c r="N7" s="56"/>
      <c r="O7" s="63">
        <f t="shared" si="2"/>
        <v>359.76</v>
      </c>
      <c r="P7" s="63"/>
      <c r="Q7" s="56">
        <f t="shared" si="3"/>
        <v>199.76</v>
      </c>
      <c r="R7" s="56"/>
    </row>
    <row r="8" spans="1:23" x14ac:dyDescent="0.25">
      <c r="A8" s="50" t="s">
        <v>56</v>
      </c>
      <c r="B8" s="50"/>
      <c r="C8" s="17" t="s">
        <v>57</v>
      </c>
      <c r="D8" s="17"/>
      <c r="E8" s="17"/>
      <c r="F8" s="3">
        <f>'Hardware O''Comptoir'!F8+'Hardware CuzCup'!F8</f>
        <v>1</v>
      </c>
      <c r="G8" s="58">
        <v>135</v>
      </c>
      <c r="H8" s="58"/>
      <c r="I8" s="60">
        <v>249.99</v>
      </c>
      <c r="J8" s="60"/>
      <c r="K8" s="60">
        <f t="shared" si="1"/>
        <v>135</v>
      </c>
      <c r="L8" s="60"/>
      <c r="M8" s="56">
        <f t="shared" si="0"/>
        <v>114.99000000000001</v>
      </c>
      <c r="N8" s="56"/>
      <c r="O8" s="63">
        <f t="shared" si="2"/>
        <v>249.99</v>
      </c>
      <c r="P8" s="63"/>
      <c r="Q8" s="56">
        <f t="shared" si="3"/>
        <v>114.99000000000001</v>
      </c>
      <c r="R8" s="56"/>
    </row>
    <row r="9" spans="1:23" x14ac:dyDescent="0.25">
      <c r="A9" s="50" t="s">
        <v>58</v>
      </c>
      <c r="B9" s="50"/>
      <c r="C9" s="17" t="s">
        <v>61</v>
      </c>
      <c r="D9" s="17"/>
      <c r="E9" s="17"/>
      <c r="F9" s="3">
        <f>'Hardware O''Comptoir'!F9+'Hardware CuzCup'!F9</f>
        <v>1</v>
      </c>
      <c r="G9" s="58">
        <v>19</v>
      </c>
      <c r="H9" s="58"/>
      <c r="I9" s="60">
        <v>24.99</v>
      </c>
      <c r="J9" s="60"/>
      <c r="K9" s="60">
        <f t="shared" si="1"/>
        <v>19</v>
      </c>
      <c r="L9" s="60"/>
      <c r="M9" s="56">
        <f t="shared" si="0"/>
        <v>5.9899999999999984</v>
      </c>
      <c r="N9" s="56"/>
      <c r="O9" s="63">
        <f t="shared" si="2"/>
        <v>24.99</v>
      </c>
      <c r="P9" s="63"/>
      <c r="Q9" s="56">
        <f t="shared" si="3"/>
        <v>5.9899999999999984</v>
      </c>
      <c r="R9" s="56"/>
    </row>
    <row r="10" spans="1:23" x14ac:dyDescent="0.25">
      <c r="A10" s="50" t="s">
        <v>59</v>
      </c>
      <c r="B10" s="50"/>
      <c r="C10" s="17" t="s">
        <v>62</v>
      </c>
      <c r="D10" s="17"/>
      <c r="E10" s="17"/>
      <c r="F10" s="3">
        <f>'Hardware O''Comptoir'!F10+'Hardware CuzCup'!F10</f>
        <v>4</v>
      </c>
      <c r="G10" s="58">
        <v>10</v>
      </c>
      <c r="H10" s="58"/>
      <c r="I10" s="60">
        <v>19.989999999999998</v>
      </c>
      <c r="J10" s="60"/>
      <c r="K10" s="60">
        <f t="shared" si="1"/>
        <v>40</v>
      </c>
      <c r="L10" s="60"/>
      <c r="M10" s="56">
        <f t="shared" si="0"/>
        <v>9.9899999999999984</v>
      </c>
      <c r="N10" s="56"/>
      <c r="O10" s="63">
        <f t="shared" si="2"/>
        <v>79.959999999999994</v>
      </c>
      <c r="P10" s="63"/>
      <c r="Q10" s="56">
        <f t="shared" si="3"/>
        <v>39.959999999999994</v>
      </c>
      <c r="R10" s="56"/>
    </row>
    <row r="11" spans="1:23" x14ac:dyDescent="0.25">
      <c r="A11" s="50" t="s">
        <v>60</v>
      </c>
      <c r="B11" s="50"/>
      <c r="C11" s="17" t="s">
        <v>63</v>
      </c>
      <c r="D11" s="17"/>
      <c r="E11" s="17"/>
      <c r="F11" s="3">
        <f>'Hardware O''Comptoir'!F11+'Hardware CuzCup'!F11</f>
        <v>40</v>
      </c>
      <c r="G11" s="58">
        <v>3</v>
      </c>
      <c r="H11" s="58"/>
      <c r="I11" s="60">
        <v>8.09</v>
      </c>
      <c r="J11" s="60"/>
      <c r="K11" s="60">
        <f t="shared" si="1"/>
        <v>120</v>
      </c>
      <c r="L11" s="60"/>
      <c r="M11" s="56">
        <f t="shared" si="0"/>
        <v>5.09</v>
      </c>
      <c r="N11" s="56"/>
      <c r="O11" s="63">
        <f t="shared" si="2"/>
        <v>323.60000000000002</v>
      </c>
      <c r="P11" s="63"/>
      <c r="Q11" s="56">
        <f t="shared" si="3"/>
        <v>203.6</v>
      </c>
      <c r="R11" s="56"/>
    </row>
    <row r="12" spans="1:23" x14ac:dyDescent="0.25">
      <c r="A12" s="50" t="s">
        <v>64</v>
      </c>
      <c r="B12" s="50"/>
      <c r="C12" s="17" t="s">
        <v>65</v>
      </c>
      <c r="D12" s="17"/>
      <c r="E12" s="17"/>
      <c r="F12" s="3">
        <f>'Hardware O''Comptoir'!F12+'Hardware CuzCup'!F12+'Hardware SameSame'!F12</f>
        <v>7</v>
      </c>
      <c r="G12" s="58">
        <v>0</v>
      </c>
      <c r="H12" s="58"/>
      <c r="I12" s="60">
        <v>79.989999999999995</v>
      </c>
      <c r="J12" s="60"/>
      <c r="K12" s="60">
        <f t="shared" si="1"/>
        <v>0</v>
      </c>
      <c r="L12" s="60"/>
      <c r="M12" s="56">
        <f t="shared" si="0"/>
        <v>79.989999999999995</v>
      </c>
      <c r="N12" s="56"/>
      <c r="O12" s="63">
        <f t="shared" si="2"/>
        <v>559.92999999999995</v>
      </c>
      <c r="P12" s="63"/>
      <c r="Q12" s="56">
        <f t="shared" si="3"/>
        <v>559.92999999999995</v>
      </c>
      <c r="R12" s="56"/>
    </row>
    <row r="15" spans="1:23" ht="17.25" customHeight="1" thickBot="1" x14ac:dyDescent="0.3">
      <c r="T15" s="61" t="s">
        <v>69</v>
      </c>
      <c r="U15" s="61"/>
      <c r="V15" s="64">
        <f>Q4+Q5+Q6+Q7+Q8+Q9+Q10+Q11</f>
        <v>10164.239999999998</v>
      </c>
      <c r="W15" s="17"/>
    </row>
    <row r="16" spans="1:23" ht="16.5" thickTop="1" thickBot="1" x14ac:dyDescent="0.3">
      <c r="T16" s="61" t="s">
        <v>70</v>
      </c>
      <c r="U16" s="61"/>
      <c r="V16" s="64">
        <f>Q12</f>
        <v>559.92999999999995</v>
      </c>
      <c r="W16" s="17"/>
    </row>
    <row r="17" spans="1:4" ht="15.75" thickTop="1" x14ac:dyDescent="0.25"/>
    <row r="21" spans="1:4" ht="20.25" thickBot="1" x14ac:dyDescent="0.35">
      <c r="A21" s="52" t="s">
        <v>73</v>
      </c>
      <c r="B21" s="52"/>
      <c r="C21" s="52"/>
    </row>
    <row r="22" spans="1:4" ht="15.75" thickTop="1" x14ac:dyDescent="0.25"/>
    <row r="23" spans="1:4" x14ac:dyDescent="0.25">
      <c r="A23" s="17" t="s">
        <v>74</v>
      </c>
      <c r="B23" s="17"/>
      <c r="C23" s="65">
        <f>SUM(K4:L12)+SUM('Hardware Stock'!K4:L11)</f>
        <v>5734</v>
      </c>
      <c r="D23" s="66"/>
    </row>
  </sheetData>
  <mergeCells count="87">
    <mergeCell ref="K7:L7"/>
    <mergeCell ref="K8:L8"/>
    <mergeCell ref="K9:L9"/>
    <mergeCell ref="K10:L10"/>
    <mergeCell ref="K11:L11"/>
    <mergeCell ref="K12:L12"/>
    <mergeCell ref="Q10:R10"/>
    <mergeCell ref="Q11:R11"/>
    <mergeCell ref="Q12:R12"/>
    <mergeCell ref="A23:B23"/>
    <mergeCell ref="C23:D23"/>
    <mergeCell ref="Q4:R4"/>
    <mergeCell ref="Q5:R5"/>
    <mergeCell ref="Q6:R6"/>
    <mergeCell ref="Q7:R7"/>
    <mergeCell ref="Q8:R8"/>
    <mergeCell ref="Q9:R9"/>
    <mergeCell ref="O7:P7"/>
    <mergeCell ref="O8:P8"/>
    <mergeCell ref="O9:P9"/>
    <mergeCell ref="O10:P10"/>
    <mergeCell ref="O11:P11"/>
    <mergeCell ref="O12:P12"/>
    <mergeCell ref="T15:U15"/>
    <mergeCell ref="T16:U16"/>
    <mergeCell ref="V15:W15"/>
    <mergeCell ref="V16:W16"/>
    <mergeCell ref="O3:P3"/>
    <mergeCell ref="Q3:R3"/>
    <mergeCell ref="O4:P4"/>
    <mergeCell ref="O5:P5"/>
    <mergeCell ref="O6:P6"/>
    <mergeCell ref="I11:J11"/>
    <mergeCell ref="I12:J12"/>
    <mergeCell ref="M5:N5"/>
    <mergeCell ref="M6:N6"/>
    <mergeCell ref="M7:N7"/>
    <mergeCell ref="M8:N8"/>
    <mergeCell ref="M9:N9"/>
    <mergeCell ref="M10:N10"/>
    <mergeCell ref="M11:N11"/>
    <mergeCell ref="M12:N12"/>
    <mergeCell ref="G9:H9"/>
    <mergeCell ref="G10:H10"/>
    <mergeCell ref="G11:H11"/>
    <mergeCell ref="G12:H12"/>
    <mergeCell ref="I5:J5"/>
    <mergeCell ref="I6:J6"/>
    <mergeCell ref="I7:J7"/>
    <mergeCell ref="I8:J8"/>
    <mergeCell ref="I9:J9"/>
    <mergeCell ref="I10:J10"/>
    <mergeCell ref="A1:B1"/>
    <mergeCell ref="A5:B5"/>
    <mergeCell ref="C5:E5"/>
    <mergeCell ref="G5:H5"/>
    <mergeCell ref="G6:H6"/>
    <mergeCell ref="G7:H7"/>
    <mergeCell ref="C11:E11"/>
    <mergeCell ref="A12:B12"/>
    <mergeCell ref="C12:E12"/>
    <mergeCell ref="G3:H3"/>
    <mergeCell ref="I3:J3"/>
    <mergeCell ref="M3:N3"/>
    <mergeCell ref="G4:H4"/>
    <mergeCell ref="I4:J4"/>
    <mergeCell ref="M4:N4"/>
    <mergeCell ref="G8:H8"/>
    <mergeCell ref="A9:B9"/>
    <mergeCell ref="A10:B10"/>
    <mergeCell ref="A11:B11"/>
    <mergeCell ref="C3:E3"/>
    <mergeCell ref="C4:E4"/>
    <mergeCell ref="C6:E6"/>
    <mergeCell ref="C7:E7"/>
    <mergeCell ref="C8:E8"/>
    <mergeCell ref="C9:E9"/>
    <mergeCell ref="C10:E10"/>
    <mergeCell ref="A3:B3"/>
    <mergeCell ref="A4:B4"/>
    <mergeCell ref="A6:B6"/>
    <mergeCell ref="A7:B7"/>
    <mergeCell ref="A8:B8"/>
    <mergeCell ref="K3:L3"/>
    <mergeCell ref="K4:L4"/>
    <mergeCell ref="K5:L5"/>
    <mergeCell ref="K6:L6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60FA-3928-4E9D-89A4-FD620F878D5B}">
  <dimension ref="A1:W17"/>
  <sheetViews>
    <sheetView workbookViewId="0">
      <selection activeCell="L15" sqref="L15"/>
    </sheetView>
  </sheetViews>
  <sheetFormatPr defaultRowHeight="15" x14ac:dyDescent="0.25"/>
  <sheetData>
    <row r="1" spans="1:23" ht="20.25" thickBot="1" x14ac:dyDescent="0.35">
      <c r="A1" s="52" t="s">
        <v>76</v>
      </c>
      <c r="B1" s="52"/>
      <c r="C1" s="55"/>
    </row>
    <row r="2" spans="1:23" ht="15.75" thickTop="1" x14ac:dyDescent="0.25"/>
    <row r="3" spans="1:23" ht="15.75" thickBot="1" x14ac:dyDescent="0.3">
      <c r="A3" s="53" t="s">
        <v>51</v>
      </c>
      <c r="B3" s="53"/>
      <c r="C3" s="53" t="s">
        <v>52</v>
      </c>
      <c r="D3" s="53"/>
      <c r="E3" s="53"/>
      <c r="F3" s="54" t="s">
        <v>66</v>
      </c>
      <c r="G3" s="53" t="s">
        <v>45</v>
      </c>
      <c r="H3" s="53"/>
      <c r="I3" s="53" t="s">
        <v>46</v>
      </c>
      <c r="J3" s="53"/>
      <c r="K3" s="53" t="s">
        <v>75</v>
      </c>
      <c r="L3" s="53"/>
      <c r="M3" s="53" t="s">
        <v>67</v>
      </c>
      <c r="N3" s="53"/>
      <c r="O3" s="53" t="s">
        <v>71</v>
      </c>
      <c r="P3" s="53"/>
      <c r="Q3" s="53" t="s">
        <v>72</v>
      </c>
      <c r="R3" s="53"/>
    </row>
    <row r="4" spans="1:23" x14ac:dyDescent="0.25">
      <c r="A4" s="50" t="s">
        <v>47</v>
      </c>
      <c r="B4" s="50"/>
      <c r="C4" s="17" t="s">
        <v>53</v>
      </c>
      <c r="D4" s="17"/>
      <c r="E4" s="17"/>
      <c r="F4" s="3">
        <v>0</v>
      </c>
      <c r="G4" s="57">
        <v>500</v>
      </c>
      <c r="H4" s="57"/>
      <c r="I4" s="59">
        <v>1699.99</v>
      </c>
      <c r="J4" s="59"/>
      <c r="K4" s="59">
        <f>F4*G4</f>
        <v>0</v>
      </c>
      <c r="L4" s="59"/>
      <c r="M4" s="56">
        <f>I4-G4</f>
        <v>1199.99</v>
      </c>
      <c r="N4" s="56"/>
      <c r="O4" s="59">
        <f>F4*I4</f>
        <v>0</v>
      </c>
      <c r="P4" s="59"/>
      <c r="Q4" s="62">
        <f>F4*M4</f>
        <v>0</v>
      </c>
      <c r="R4" s="62"/>
    </row>
    <row r="5" spans="1:23" x14ac:dyDescent="0.25">
      <c r="A5" s="50" t="s">
        <v>48</v>
      </c>
      <c r="B5" s="50"/>
      <c r="C5" s="17" t="s">
        <v>68</v>
      </c>
      <c r="D5" s="17"/>
      <c r="E5" s="17"/>
      <c r="F5" s="3">
        <v>2</v>
      </c>
      <c r="G5" s="58">
        <v>680</v>
      </c>
      <c r="H5" s="58"/>
      <c r="I5" s="60">
        <v>2100</v>
      </c>
      <c r="J5" s="60"/>
      <c r="K5" s="60">
        <f>F5*G5</f>
        <v>1360</v>
      </c>
      <c r="L5" s="60"/>
      <c r="M5" s="56">
        <f t="shared" ref="M5:M12" si="0">I5-G5</f>
        <v>1420</v>
      </c>
      <c r="N5" s="56"/>
      <c r="O5" s="63">
        <f>F5*I5</f>
        <v>4200</v>
      </c>
      <c r="P5" s="63"/>
      <c r="Q5" s="56">
        <f>F5*M5</f>
        <v>2840</v>
      </c>
      <c r="R5" s="56"/>
    </row>
    <row r="6" spans="1:23" x14ac:dyDescent="0.25">
      <c r="A6" s="50" t="s">
        <v>49</v>
      </c>
      <c r="B6" s="50"/>
      <c r="C6" s="17" t="s">
        <v>54</v>
      </c>
      <c r="D6" s="17"/>
      <c r="E6" s="17"/>
      <c r="F6" s="3">
        <v>0</v>
      </c>
      <c r="G6" s="58">
        <v>800</v>
      </c>
      <c r="H6" s="58"/>
      <c r="I6" s="60">
        <v>2799.99</v>
      </c>
      <c r="J6" s="60"/>
      <c r="K6" s="60">
        <f t="shared" ref="K6:K12" si="1">F6*G6</f>
        <v>0</v>
      </c>
      <c r="L6" s="60"/>
      <c r="M6" s="56">
        <f t="shared" si="0"/>
        <v>1999.9899999999998</v>
      </c>
      <c r="N6" s="56"/>
      <c r="O6" s="63">
        <f t="shared" ref="O6:O12" si="2">F6*I6</f>
        <v>0</v>
      </c>
      <c r="P6" s="63"/>
      <c r="Q6" s="56">
        <f t="shared" ref="Q6:Q12" si="3">F6*M6</f>
        <v>0</v>
      </c>
      <c r="R6" s="56"/>
    </row>
    <row r="7" spans="1:23" x14ac:dyDescent="0.25">
      <c r="A7" s="50" t="s">
        <v>50</v>
      </c>
      <c r="B7" s="50"/>
      <c r="C7" s="17" t="s">
        <v>55</v>
      </c>
      <c r="D7" s="17"/>
      <c r="E7" s="17"/>
      <c r="F7" s="3">
        <v>0</v>
      </c>
      <c r="G7" s="58">
        <v>80</v>
      </c>
      <c r="H7" s="58"/>
      <c r="I7" s="60">
        <v>179.88</v>
      </c>
      <c r="J7" s="60"/>
      <c r="K7" s="60">
        <f t="shared" si="1"/>
        <v>0</v>
      </c>
      <c r="L7" s="60"/>
      <c r="M7" s="56">
        <f t="shared" si="0"/>
        <v>99.88</v>
      </c>
      <c r="N7" s="56"/>
      <c r="O7" s="63">
        <f t="shared" si="2"/>
        <v>0</v>
      </c>
      <c r="P7" s="63"/>
      <c r="Q7" s="56">
        <f t="shared" si="3"/>
        <v>0</v>
      </c>
      <c r="R7" s="56"/>
    </row>
    <row r="8" spans="1:23" x14ac:dyDescent="0.25">
      <c r="A8" s="50" t="s">
        <v>56</v>
      </c>
      <c r="B8" s="50"/>
      <c r="C8" s="17" t="s">
        <v>57</v>
      </c>
      <c r="D8" s="17"/>
      <c r="E8" s="17"/>
      <c r="F8" s="3">
        <v>0</v>
      </c>
      <c r="G8" s="58">
        <v>135</v>
      </c>
      <c r="H8" s="58"/>
      <c r="I8" s="60">
        <v>249.99</v>
      </c>
      <c r="J8" s="60"/>
      <c r="K8" s="60">
        <f t="shared" si="1"/>
        <v>0</v>
      </c>
      <c r="L8" s="60"/>
      <c r="M8" s="56">
        <f t="shared" si="0"/>
        <v>114.99000000000001</v>
      </c>
      <c r="N8" s="56"/>
      <c r="O8" s="63">
        <f t="shared" si="2"/>
        <v>0</v>
      </c>
      <c r="P8" s="63"/>
      <c r="Q8" s="56">
        <f t="shared" si="3"/>
        <v>0</v>
      </c>
      <c r="R8" s="56"/>
    </row>
    <row r="9" spans="1:23" x14ac:dyDescent="0.25">
      <c r="A9" s="50" t="s">
        <v>58</v>
      </c>
      <c r="B9" s="50"/>
      <c r="C9" s="17" t="s">
        <v>61</v>
      </c>
      <c r="D9" s="17"/>
      <c r="E9" s="17"/>
      <c r="F9" s="3">
        <v>0</v>
      </c>
      <c r="G9" s="58">
        <v>19</v>
      </c>
      <c r="H9" s="58"/>
      <c r="I9" s="60">
        <v>24.99</v>
      </c>
      <c r="J9" s="60"/>
      <c r="K9" s="60">
        <f t="shared" si="1"/>
        <v>0</v>
      </c>
      <c r="L9" s="60"/>
      <c r="M9" s="56">
        <f t="shared" si="0"/>
        <v>5.9899999999999984</v>
      </c>
      <c r="N9" s="56"/>
      <c r="O9" s="63">
        <f t="shared" si="2"/>
        <v>0</v>
      </c>
      <c r="P9" s="63"/>
      <c r="Q9" s="56">
        <f t="shared" si="3"/>
        <v>0</v>
      </c>
      <c r="R9" s="56"/>
    </row>
    <row r="10" spans="1:23" x14ac:dyDescent="0.25">
      <c r="A10" s="50" t="s">
        <v>59</v>
      </c>
      <c r="B10" s="50"/>
      <c r="C10" s="17" t="s">
        <v>62</v>
      </c>
      <c r="D10" s="17"/>
      <c r="E10" s="17"/>
      <c r="F10" s="3">
        <v>0</v>
      </c>
      <c r="G10" s="58">
        <v>10</v>
      </c>
      <c r="H10" s="58"/>
      <c r="I10" s="60">
        <v>19.989999999999998</v>
      </c>
      <c r="J10" s="60"/>
      <c r="K10" s="60">
        <f t="shared" si="1"/>
        <v>0</v>
      </c>
      <c r="L10" s="60"/>
      <c r="M10" s="56">
        <f t="shared" si="0"/>
        <v>9.9899999999999984</v>
      </c>
      <c r="N10" s="56"/>
      <c r="O10" s="63">
        <f t="shared" si="2"/>
        <v>0</v>
      </c>
      <c r="P10" s="63"/>
      <c r="Q10" s="56">
        <f t="shared" si="3"/>
        <v>0</v>
      </c>
      <c r="R10" s="56"/>
    </row>
    <row r="11" spans="1:23" x14ac:dyDescent="0.25">
      <c r="A11" s="50" t="s">
        <v>60</v>
      </c>
      <c r="B11" s="50"/>
      <c r="C11" s="17" t="s">
        <v>63</v>
      </c>
      <c r="D11" s="17"/>
      <c r="E11" s="17"/>
      <c r="F11" s="3">
        <v>0</v>
      </c>
      <c r="G11" s="58">
        <v>3</v>
      </c>
      <c r="H11" s="58"/>
      <c r="I11" s="60">
        <v>8.09</v>
      </c>
      <c r="J11" s="60"/>
      <c r="K11" s="60">
        <f t="shared" si="1"/>
        <v>0</v>
      </c>
      <c r="L11" s="60"/>
      <c r="M11" s="56">
        <f t="shared" si="0"/>
        <v>5.09</v>
      </c>
      <c r="N11" s="56"/>
      <c r="O11" s="63">
        <f t="shared" si="2"/>
        <v>0</v>
      </c>
      <c r="P11" s="63"/>
      <c r="Q11" s="56">
        <f t="shared" si="3"/>
        <v>0</v>
      </c>
      <c r="R11" s="56"/>
    </row>
    <row r="12" spans="1:23" x14ac:dyDescent="0.25">
      <c r="A12" s="50" t="s">
        <v>64</v>
      </c>
      <c r="B12" s="50"/>
      <c r="C12" s="17" t="s">
        <v>65</v>
      </c>
      <c r="D12" s="17"/>
      <c r="E12" s="17"/>
      <c r="F12" s="3">
        <v>0</v>
      </c>
      <c r="G12" s="58">
        <v>0</v>
      </c>
      <c r="H12" s="58"/>
      <c r="I12" s="60">
        <v>79.989999999999995</v>
      </c>
      <c r="J12" s="60"/>
      <c r="K12" s="60">
        <f t="shared" si="1"/>
        <v>0</v>
      </c>
      <c r="L12" s="60"/>
      <c r="M12" s="56">
        <f t="shared" si="0"/>
        <v>79.989999999999995</v>
      </c>
      <c r="N12" s="56"/>
      <c r="O12" s="63">
        <f t="shared" si="2"/>
        <v>0</v>
      </c>
      <c r="P12" s="63"/>
      <c r="Q12" s="56">
        <f t="shared" si="3"/>
        <v>0</v>
      </c>
      <c r="R12" s="56"/>
    </row>
    <row r="15" spans="1:23" ht="15.75" thickBot="1" x14ac:dyDescent="0.3">
      <c r="T15" s="61" t="s">
        <v>69</v>
      </c>
      <c r="U15" s="61"/>
      <c r="V15" s="64">
        <f>SUM(Q4:R11)</f>
        <v>2840</v>
      </c>
      <c r="W15" s="17"/>
    </row>
    <row r="16" spans="1:23" ht="16.5" thickTop="1" thickBot="1" x14ac:dyDescent="0.3">
      <c r="T16" s="61" t="s">
        <v>70</v>
      </c>
      <c r="U16" s="61"/>
      <c r="V16" s="64">
        <f>Q12</f>
        <v>0</v>
      </c>
      <c r="W16" s="17"/>
    </row>
    <row r="17" ht="15.75" thickTop="1" x14ac:dyDescent="0.25"/>
  </sheetData>
  <mergeCells count="84">
    <mergeCell ref="T15:U15"/>
    <mergeCell ref="V15:W15"/>
    <mergeCell ref="T16:U16"/>
    <mergeCell ref="V16:W16"/>
    <mergeCell ref="K3:L3"/>
    <mergeCell ref="K4:L4"/>
    <mergeCell ref="K5:L5"/>
    <mergeCell ref="K6:L6"/>
    <mergeCell ref="K7:L7"/>
    <mergeCell ref="K8:L8"/>
    <mergeCell ref="Q11:R11"/>
    <mergeCell ref="A12:B12"/>
    <mergeCell ref="C12:E12"/>
    <mergeCell ref="G12:H12"/>
    <mergeCell ref="I12:J12"/>
    <mergeCell ref="M12:N12"/>
    <mergeCell ref="O12:P12"/>
    <mergeCell ref="Q12:R12"/>
    <mergeCell ref="K11:L11"/>
    <mergeCell ref="K12:L12"/>
    <mergeCell ref="A11:B11"/>
    <mergeCell ref="C11:E11"/>
    <mergeCell ref="G11:H11"/>
    <mergeCell ref="I11:J11"/>
    <mergeCell ref="M11:N11"/>
    <mergeCell ref="O11:P11"/>
    <mergeCell ref="Q9:R9"/>
    <mergeCell ref="A10:B10"/>
    <mergeCell ref="C10:E10"/>
    <mergeCell ref="G10:H10"/>
    <mergeCell ref="I10:J10"/>
    <mergeCell ref="M10:N10"/>
    <mergeCell ref="O10:P10"/>
    <mergeCell ref="Q10:R10"/>
    <mergeCell ref="K9:L9"/>
    <mergeCell ref="K10:L10"/>
    <mergeCell ref="A9:B9"/>
    <mergeCell ref="C9:E9"/>
    <mergeCell ref="G9:H9"/>
    <mergeCell ref="I9:J9"/>
    <mergeCell ref="M9:N9"/>
    <mergeCell ref="O9:P9"/>
    <mergeCell ref="Q7:R7"/>
    <mergeCell ref="A8:B8"/>
    <mergeCell ref="C8:E8"/>
    <mergeCell ref="G8:H8"/>
    <mergeCell ref="I8:J8"/>
    <mergeCell ref="M8:N8"/>
    <mergeCell ref="O8:P8"/>
    <mergeCell ref="Q8:R8"/>
    <mergeCell ref="A7:B7"/>
    <mergeCell ref="C7:E7"/>
    <mergeCell ref="G7:H7"/>
    <mergeCell ref="I7:J7"/>
    <mergeCell ref="M7:N7"/>
    <mergeCell ref="O7:P7"/>
    <mergeCell ref="Q5:R5"/>
    <mergeCell ref="A6:B6"/>
    <mergeCell ref="C6:E6"/>
    <mergeCell ref="G6:H6"/>
    <mergeCell ref="I6:J6"/>
    <mergeCell ref="M6:N6"/>
    <mergeCell ref="O6:P6"/>
    <mergeCell ref="Q6:R6"/>
    <mergeCell ref="A5:B5"/>
    <mergeCell ref="C5:E5"/>
    <mergeCell ref="G5:H5"/>
    <mergeCell ref="I5:J5"/>
    <mergeCell ref="M5:N5"/>
    <mergeCell ref="O5:P5"/>
    <mergeCell ref="O3:P3"/>
    <mergeCell ref="Q3:R3"/>
    <mergeCell ref="A4:B4"/>
    <mergeCell ref="C4:E4"/>
    <mergeCell ref="G4:H4"/>
    <mergeCell ref="I4:J4"/>
    <mergeCell ref="M4:N4"/>
    <mergeCell ref="O4:P4"/>
    <mergeCell ref="Q4:R4"/>
    <mergeCell ref="A3:B3"/>
    <mergeCell ref="C3:E3"/>
    <mergeCell ref="G3:H3"/>
    <mergeCell ref="I3:J3"/>
    <mergeCell ref="M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4781-8DF9-41A5-AB20-E18544C196A8}">
  <dimension ref="A1:U17"/>
  <sheetViews>
    <sheetView workbookViewId="0">
      <selection activeCell="G28" sqref="G28"/>
    </sheetView>
  </sheetViews>
  <sheetFormatPr defaultRowHeight="15" x14ac:dyDescent="0.25"/>
  <sheetData>
    <row r="1" spans="1:21" ht="20.25" thickBot="1" x14ac:dyDescent="0.35">
      <c r="A1" s="51" t="s">
        <v>0</v>
      </c>
      <c r="B1" s="51"/>
    </row>
    <row r="2" spans="1:21" ht="15.75" thickTop="1" x14ac:dyDescent="0.25"/>
    <row r="3" spans="1:21" ht="15.75" thickBot="1" x14ac:dyDescent="0.3">
      <c r="A3" s="53" t="s">
        <v>51</v>
      </c>
      <c r="B3" s="53"/>
      <c r="C3" s="53" t="s">
        <v>52</v>
      </c>
      <c r="D3" s="53"/>
      <c r="E3" s="53"/>
      <c r="F3" s="54" t="s">
        <v>66</v>
      </c>
      <c r="G3" s="53" t="s">
        <v>45</v>
      </c>
      <c r="H3" s="53"/>
      <c r="I3" s="53" t="s">
        <v>46</v>
      </c>
      <c r="J3" s="53"/>
      <c r="K3" s="53" t="s">
        <v>67</v>
      </c>
      <c r="L3" s="53"/>
      <c r="M3" s="53" t="s">
        <v>71</v>
      </c>
      <c r="N3" s="53"/>
      <c r="O3" s="53" t="s">
        <v>72</v>
      </c>
      <c r="P3" s="53"/>
    </row>
    <row r="4" spans="1:21" x14ac:dyDescent="0.25">
      <c r="A4" s="50" t="s">
        <v>47</v>
      </c>
      <c r="B4" s="50"/>
      <c r="C4" s="17" t="s">
        <v>53</v>
      </c>
      <c r="D4" s="17"/>
      <c r="E4" s="17"/>
      <c r="F4" s="3">
        <v>0</v>
      </c>
      <c r="G4" s="57">
        <v>500</v>
      </c>
      <c r="H4" s="57"/>
      <c r="I4" s="59">
        <v>1699.99</v>
      </c>
      <c r="J4" s="59"/>
      <c r="K4" s="56">
        <f>I4-G4</f>
        <v>1199.99</v>
      </c>
      <c r="L4" s="56"/>
      <c r="M4" s="59">
        <f>F4*I4</f>
        <v>0</v>
      </c>
      <c r="N4" s="59"/>
      <c r="O4" s="62">
        <f>F4*K4</f>
        <v>0</v>
      </c>
      <c r="P4" s="62"/>
    </row>
    <row r="5" spans="1:21" x14ac:dyDescent="0.25">
      <c r="A5" s="50" t="s">
        <v>48</v>
      </c>
      <c r="B5" s="50"/>
      <c r="C5" s="17" t="s">
        <v>68</v>
      </c>
      <c r="D5" s="17"/>
      <c r="E5" s="17"/>
      <c r="F5" s="3">
        <v>1</v>
      </c>
      <c r="G5" s="58">
        <v>680</v>
      </c>
      <c r="H5" s="58"/>
      <c r="I5" s="60">
        <v>2100</v>
      </c>
      <c r="J5" s="60"/>
      <c r="K5" s="56">
        <f t="shared" ref="K5:K12" si="0">I5-G5</f>
        <v>1420</v>
      </c>
      <c r="L5" s="56"/>
      <c r="M5" s="63">
        <f>F5*I5</f>
        <v>2100</v>
      </c>
      <c r="N5" s="63"/>
      <c r="O5" s="56">
        <f>F5*K5</f>
        <v>1420</v>
      </c>
      <c r="P5" s="56"/>
    </row>
    <row r="6" spans="1:21" x14ac:dyDescent="0.25">
      <c r="A6" s="50" t="s">
        <v>49</v>
      </c>
      <c r="B6" s="50"/>
      <c r="C6" s="17" t="s">
        <v>54</v>
      </c>
      <c r="D6" s="17"/>
      <c r="E6" s="17"/>
      <c r="F6" s="3">
        <v>0</v>
      </c>
      <c r="G6" s="58">
        <v>800</v>
      </c>
      <c r="H6" s="58"/>
      <c r="I6" s="60">
        <v>2799.99</v>
      </c>
      <c r="J6" s="60"/>
      <c r="K6" s="56">
        <f t="shared" si="0"/>
        <v>1999.9899999999998</v>
      </c>
      <c r="L6" s="56"/>
      <c r="M6" s="63">
        <f t="shared" ref="M6:M12" si="1">F6*I6</f>
        <v>0</v>
      </c>
      <c r="N6" s="63"/>
      <c r="O6" s="56">
        <f t="shared" ref="O6:O12" si="2">F6*K6</f>
        <v>0</v>
      </c>
      <c r="P6" s="56"/>
    </row>
    <row r="7" spans="1:21" x14ac:dyDescent="0.25">
      <c r="A7" s="50" t="s">
        <v>50</v>
      </c>
      <c r="B7" s="50"/>
      <c r="C7" s="17" t="s">
        <v>55</v>
      </c>
      <c r="D7" s="17"/>
      <c r="E7" s="17"/>
      <c r="F7" s="3">
        <v>0</v>
      </c>
      <c r="G7" s="58">
        <v>80</v>
      </c>
      <c r="H7" s="58"/>
      <c r="I7" s="60">
        <v>179.88</v>
      </c>
      <c r="J7" s="60"/>
      <c r="K7" s="56">
        <f t="shared" si="0"/>
        <v>99.88</v>
      </c>
      <c r="L7" s="56"/>
      <c r="M7" s="63">
        <f t="shared" si="1"/>
        <v>0</v>
      </c>
      <c r="N7" s="63"/>
      <c r="O7" s="56">
        <f t="shared" si="2"/>
        <v>0</v>
      </c>
      <c r="P7" s="56"/>
    </row>
    <row r="8" spans="1:21" x14ac:dyDescent="0.25">
      <c r="A8" s="50" t="s">
        <v>56</v>
      </c>
      <c r="B8" s="50"/>
      <c r="C8" s="17" t="s">
        <v>57</v>
      </c>
      <c r="D8" s="17"/>
      <c r="E8" s="17"/>
      <c r="F8" s="3">
        <v>0</v>
      </c>
      <c r="G8" s="58">
        <v>135</v>
      </c>
      <c r="H8" s="58"/>
      <c r="I8" s="60">
        <v>249.99</v>
      </c>
      <c r="J8" s="60"/>
      <c r="K8" s="56">
        <f t="shared" si="0"/>
        <v>114.99000000000001</v>
      </c>
      <c r="L8" s="56"/>
      <c r="M8" s="63">
        <f t="shared" si="1"/>
        <v>0</v>
      </c>
      <c r="N8" s="63"/>
      <c r="O8" s="56">
        <f t="shared" si="2"/>
        <v>0</v>
      </c>
      <c r="P8" s="56"/>
    </row>
    <row r="9" spans="1:21" x14ac:dyDescent="0.25">
      <c r="A9" s="50" t="s">
        <v>58</v>
      </c>
      <c r="B9" s="50"/>
      <c r="C9" s="17" t="s">
        <v>61</v>
      </c>
      <c r="D9" s="17"/>
      <c r="E9" s="17"/>
      <c r="F9" s="3">
        <v>0</v>
      </c>
      <c r="G9" s="58">
        <v>19</v>
      </c>
      <c r="H9" s="58"/>
      <c r="I9" s="60">
        <v>24.99</v>
      </c>
      <c r="J9" s="60"/>
      <c r="K9" s="56">
        <f t="shared" si="0"/>
        <v>5.9899999999999984</v>
      </c>
      <c r="L9" s="56"/>
      <c r="M9" s="63">
        <f t="shared" si="1"/>
        <v>0</v>
      </c>
      <c r="N9" s="63"/>
      <c r="O9" s="56">
        <f t="shared" si="2"/>
        <v>0</v>
      </c>
      <c r="P9" s="56"/>
    </row>
    <row r="10" spans="1:21" x14ac:dyDescent="0.25">
      <c r="A10" s="50" t="s">
        <v>59</v>
      </c>
      <c r="B10" s="50"/>
      <c r="C10" s="17" t="s">
        <v>62</v>
      </c>
      <c r="D10" s="17"/>
      <c r="E10" s="17"/>
      <c r="F10" s="3">
        <v>0</v>
      </c>
      <c r="G10" s="58">
        <v>10</v>
      </c>
      <c r="H10" s="58"/>
      <c r="I10" s="60">
        <v>19.989999999999998</v>
      </c>
      <c r="J10" s="60"/>
      <c r="K10" s="56">
        <f t="shared" si="0"/>
        <v>9.9899999999999984</v>
      </c>
      <c r="L10" s="56"/>
      <c r="M10" s="63">
        <f t="shared" si="1"/>
        <v>0</v>
      </c>
      <c r="N10" s="63"/>
      <c r="O10" s="56">
        <f t="shared" si="2"/>
        <v>0</v>
      </c>
      <c r="P10" s="56"/>
    </row>
    <row r="11" spans="1:21" x14ac:dyDescent="0.25">
      <c r="A11" s="50" t="s">
        <v>60</v>
      </c>
      <c r="B11" s="50"/>
      <c r="C11" s="17" t="s">
        <v>63</v>
      </c>
      <c r="D11" s="17"/>
      <c r="E11" s="17"/>
      <c r="F11" s="3">
        <v>0</v>
      </c>
      <c r="G11" s="58">
        <v>3</v>
      </c>
      <c r="H11" s="58"/>
      <c r="I11" s="60">
        <v>8.09</v>
      </c>
      <c r="J11" s="60"/>
      <c r="K11" s="56">
        <f t="shared" si="0"/>
        <v>5.09</v>
      </c>
      <c r="L11" s="56"/>
      <c r="M11" s="63">
        <f t="shared" si="1"/>
        <v>0</v>
      </c>
      <c r="N11" s="63"/>
      <c r="O11" s="56">
        <f t="shared" si="2"/>
        <v>0</v>
      </c>
      <c r="P11" s="56"/>
    </row>
    <row r="12" spans="1:21" x14ac:dyDescent="0.25">
      <c r="A12" s="50" t="s">
        <v>64</v>
      </c>
      <c r="B12" s="50"/>
      <c r="C12" s="17" t="s">
        <v>65</v>
      </c>
      <c r="D12" s="17"/>
      <c r="E12" s="17"/>
      <c r="F12" s="3">
        <v>1</v>
      </c>
      <c r="G12" s="58">
        <v>0</v>
      </c>
      <c r="H12" s="58"/>
      <c r="I12" s="60">
        <v>79.989999999999995</v>
      </c>
      <c r="J12" s="60"/>
      <c r="K12" s="56">
        <f t="shared" si="0"/>
        <v>79.989999999999995</v>
      </c>
      <c r="L12" s="56"/>
      <c r="M12" s="63">
        <f t="shared" si="1"/>
        <v>79.989999999999995</v>
      </c>
      <c r="N12" s="63"/>
      <c r="O12" s="56">
        <f t="shared" si="2"/>
        <v>79.989999999999995</v>
      </c>
      <c r="P12" s="56"/>
    </row>
    <row r="15" spans="1:21" ht="15.75" thickBot="1" x14ac:dyDescent="0.3">
      <c r="R15" s="61" t="s">
        <v>69</v>
      </c>
      <c r="S15" s="61"/>
      <c r="T15" s="64">
        <f>SUM(O4:P11)</f>
        <v>1420</v>
      </c>
      <c r="U15" s="17"/>
    </row>
    <row r="16" spans="1:21" ht="16.5" thickTop="1" thickBot="1" x14ac:dyDescent="0.3">
      <c r="R16" s="61" t="s">
        <v>70</v>
      </c>
      <c r="S16" s="61"/>
      <c r="T16" s="64">
        <f>O12</f>
        <v>79.989999999999995</v>
      </c>
      <c r="U16" s="17"/>
    </row>
    <row r="17" customFormat="1" ht="15.75" thickTop="1" x14ac:dyDescent="0.25"/>
  </sheetData>
  <mergeCells count="75">
    <mergeCell ref="R15:S15"/>
    <mergeCell ref="T15:U15"/>
    <mergeCell ref="R16:S16"/>
    <mergeCell ref="T16:U16"/>
    <mergeCell ref="O11:P11"/>
    <mergeCell ref="A12:B12"/>
    <mergeCell ref="C12:E12"/>
    <mergeCell ref="G12:H12"/>
    <mergeCell ref="I12:J12"/>
    <mergeCell ref="K12:L12"/>
    <mergeCell ref="M12:N12"/>
    <mergeCell ref="O12:P12"/>
    <mergeCell ref="A11:B11"/>
    <mergeCell ref="C11:E11"/>
    <mergeCell ref="G11:H11"/>
    <mergeCell ref="I11:J11"/>
    <mergeCell ref="K11:L11"/>
    <mergeCell ref="M11:N11"/>
    <mergeCell ref="O9:P9"/>
    <mergeCell ref="A10:B10"/>
    <mergeCell ref="C10:E10"/>
    <mergeCell ref="G10:H10"/>
    <mergeCell ref="I10:J10"/>
    <mergeCell ref="K10:L10"/>
    <mergeCell ref="M10:N10"/>
    <mergeCell ref="O10:P10"/>
    <mergeCell ref="A9:B9"/>
    <mergeCell ref="C9:E9"/>
    <mergeCell ref="G9:H9"/>
    <mergeCell ref="I9:J9"/>
    <mergeCell ref="K9:L9"/>
    <mergeCell ref="M9:N9"/>
    <mergeCell ref="O7:P7"/>
    <mergeCell ref="A8:B8"/>
    <mergeCell ref="C8:E8"/>
    <mergeCell ref="G8:H8"/>
    <mergeCell ref="I8:J8"/>
    <mergeCell ref="K8:L8"/>
    <mergeCell ref="M8:N8"/>
    <mergeCell ref="O8:P8"/>
    <mergeCell ref="A7:B7"/>
    <mergeCell ref="C7:E7"/>
    <mergeCell ref="G7:H7"/>
    <mergeCell ref="I7:J7"/>
    <mergeCell ref="K7:L7"/>
    <mergeCell ref="M7:N7"/>
    <mergeCell ref="O5:P5"/>
    <mergeCell ref="A6:B6"/>
    <mergeCell ref="C6:E6"/>
    <mergeCell ref="G6:H6"/>
    <mergeCell ref="I6:J6"/>
    <mergeCell ref="K6:L6"/>
    <mergeCell ref="M6:N6"/>
    <mergeCell ref="O6:P6"/>
    <mergeCell ref="A5:B5"/>
    <mergeCell ref="C5:E5"/>
    <mergeCell ref="G5:H5"/>
    <mergeCell ref="I5:J5"/>
    <mergeCell ref="K5:L5"/>
    <mergeCell ref="M5:N5"/>
    <mergeCell ref="M3:N3"/>
    <mergeCell ref="O3:P3"/>
    <mergeCell ref="A4:B4"/>
    <mergeCell ref="C4:E4"/>
    <mergeCell ref="G4:H4"/>
    <mergeCell ref="I4:J4"/>
    <mergeCell ref="K4:L4"/>
    <mergeCell ref="M4:N4"/>
    <mergeCell ref="O4:P4"/>
    <mergeCell ref="A1:B1"/>
    <mergeCell ref="A3:B3"/>
    <mergeCell ref="C3:E3"/>
    <mergeCell ref="G3:H3"/>
    <mergeCell ref="I3:J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FA70-7292-48AC-A5D5-B01A2BC7ABB0}">
  <dimension ref="A1:U17"/>
  <sheetViews>
    <sheetView workbookViewId="0">
      <selection sqref="A1:XFD1048576"/>
    </sheetView>
  </sheetViews>
  <sheetFormatPr defaultRowHeight="15" x14ac:dyDescent="0.25"/>
  <sheetData>
    <row r="1" spans="1:21" ht="20.25" thickBot="1" x14ac:dyDescent="0.35">
      <c r="A1" s="51" t="s">
        <v>0</v>
      </c>
      <c r="B1" s="51"/>
    </row>
    <row r="2" spans="1:21" ht="15.75" thickTop="1" x14ac:dyDescent="0.25"/>
    <row r="3" spans="1:21" ht="15.75" thickBot="1" x14ac:dyDescent="0.3">
      <c r="A3" s="53" t="s">
        <v>51</v>
      </c>
      <c r="B3" s="53"/>
      <c r="C3" s="53" t="s">
        <v>52</v>
      </c>
      <c r="D3" s="53"/>
      <c r="E3" s="53"/>
      <c r="F3" s="54" t="s">
        <v>66</v>
      </c>
      <c r="G3" s="53" t="s">
        <v>45</v>
      </c>
      <c r="H3" s="53"/>
      <c r="I3" s="53" t="s">
        <v>46</v>
      </c>
      <c r="J3" s="53"/>
      <c r="K3" s="53" t="s">
        <v>67</v>
      </c>
      <c r="L3" s="53"/>
      <c r="M3" s="53" t="s">
        <v>71</v>
      </c>
      <c r="N3" s="53"/>
      <c r="O3" s="53" t="s">
        <v>72</v>
      </c>
      <c r="P3" s="53"/>
    </row>
    <row r="4" spans="1:21" x14ac:dyDescent="0.25">
      <c r="A4" s="50" t="s">
        <v>47</v>
      </c>
      <c r="B4" s="50"/>
      <c r="C4" s="17" t="s">
        <v>53</v>
      </c>
      <c r="D4" s="17"/>
      <c r="E4" s="17"/>
      <c r="F4" s="3">
        <v>2</v>
      </c>
      <c r="G4" s="57">
        <v>500</v>
      </c>
      <c r="H4" s="57"/>
      <c r="I4" s="59">
        <v>1699.99</v>
      </c>
      <c r="J4" s="59"/>
      <c r="K4" s="56">
        <f>I4-G4</f>
        <v>1199.99</v>
      </c>
      <c r="L4" s="56"/>
      <c r="M4" s="59">
        <f>F4*I4</f>
        <v>3399.98</v>
      </c>
      <c r="N4" s="59"/>
      <c r="O4" s="62">
        <f>F4*K4</f>
        <v>2399.98</v>
      </c>
      <c r="P4" s="62"/>
    </row>
    <row r="5" spans="1:21" x14ac:dyDescent="0.25">
      <c r="A5" s="50" t="s">
        <v>48</v>
      </c>
      <c r="B5" s="50"/>
      <c r="C5" s="17" t="s">
        <v>68</v>
      </c>
      <c r="D5" s="17"/>
      <c r="E5" s="17"/>
      <c r="F5" s="3">
        <v>0</v>
      </c>
      <c r="G5" s="58">
        <v>680</v>
      </c>
      <c r="H5" s="58"/>
      <c r="I5" s="60">
        <v>2100</v>
      </c>
      <c r="J5" s="60"/>
      <c r="K5" s="56">
        <f t="shared" ref="K5:K12" si="0">I5-G5</f>
        <v>1420</v>
      </c>
      <c r="L5" s="56"/>
      <c r="M5" s="63">
        <f>F5*I5</f>
        <v>0</v>
      </c>
      <c r="N5" s="63"/>
      <c r="O5" s="56">
        <f>F5*K5</f>
        <v>0</v>
      </c>
      <c r="P5" s="56"/>
    </row>
    <row r="6" spans="1:21" x14ac:dyDescent="0.25">
      <c r="A6" s="50" t="s">
        <v>49</v>
      </c>
      <c r="B6" s="50"/>
      <c r="C6" s="17" t="s">
        <v>54</v>
      </c>
      <c r="D6" s="17"/>
      <c r="E6" s="17"/>
      <c r="F6" s="3">
        <v>2</v>
      </c>
      <c r="G6" s="58">
        <v>800</v>
      </c>
      <c r="H6" s="58"/>
      <c r="I6" s="60">
        <v>2799.99</v>
      </c>
      <c r="J6" s="60"/>
      <c r="K6" s="56">
        <f t="shared" si="0"/>
        <v>1999.9899999999998</v>
      </c>
      <c r="L6" s="56"/>
      <c r="M6" s="63">
        <f t="shared" ref="M6:M12" si="1">F6*I6</f>
        <v>5599.98</v>
      </c>
      <c r="N6" s="63"/>
      <c r="O6" s="56">
        <f t="shared" ref="O6:O12" si="2">F6*K6</f>
        <v>3999.9799999999996</v>
      </c>
      <c r="P6" s="56"/>
    </row>
    <row r="7" spans="1:21" x14ac:dyDescent="0.25">
      <c r="A7" s="50" t="s">
        <v>50</v>
      </c>
      <c r="B7" s="50"/>
      <c r="C7" s="17" t="s">
        <v>55</v>
      </c>
      <c r="D7" s="17"/>
      <c r="E7" s="17"/>
      <c r="F7" s="3">
        <v>2</v>
      </c>
      <c r="G7" s="58">
        <v>80</v>
      </c>
      <c r="H7" s="58"/>
      <c r="I7" s="60">
        <v>179.88</v>
      </c>
      <c r="J7" s="60"/>
      <c r="K7" s="56">
        <f t="shared" si="0"/>
        <v>99.88</v>
      </c>
      <c r="L7" s="56"/>
      <c r="M7" s="63">
        <f t="shared" si="1"/>
        <v>359.76</v>
      </c>
      <c r="N7" s="63"/>
      <c r="O7" s="56">
        <f t="shared" si="2"/>
        <v>199.76</v>
      </c>
      <c r="P7" s="56"/>
    </row>
    <row r="8" spans="1:21" x14ac:dyDescent="0.25">
      <c r="A8" s="50" t="s">
        <v>56</v>
      </c>
      <c r="B8" s="50"/>
      <c r="C8" s="17" t="s">
        <v>57</v>
      </c>
      <c r="D8" s="17"/>
      <c r="E8" s="17"/>
      <c r="F8" s="3">
        <v>1</v>
      </c>
      <c r="G8" s="58">
        <v>135</v>
      </c>
      <c r="H8" s="58"/>
      <c r="I8" s="60">
        <v>249.99</v>
      </c>
      <c r="J8" s="60"/>
      <c r="K8" s="56">
        <f t="shared" si="0"/>
        <v>114.99000000000001</v>
      </c>
      <c r="L8" s="56"/>
      <c r="M8" s="63">
        <f t="shared" si="1"/>
        <v>249.99</v>
      </c>
      <c r="N8" s="63"/>
      <c r="O8" s="56">
        <f t="shared" si="2"/>
        <v>114.99000000000001</v>
      </c>
      <c r="P8" s="56"/>
    </row>
    <row r="9" spans="1:21" x14ac:dyDescent="0.25">
      <c r="A9" s="50" t="s">
        <v>58</v>
      </c>
      <c r="B9" s="50"/>
      <c r="C9" s="17" t="s">
        <v>61</v>
      </c>
      <c r="D9" s="17"/>
      <c r="E9" s="17"/>
      <c r="F9" s="3">
        <v>1</v>
      </c>
      <c r="G9" s="58">
        <v>19</v>
      </c>
      <c r="H9" s="58"/>
      <c r="I9" s="60">
        <v>24.99</v>
      </c>
      <c r="J9" s="60"/>
      <c r="K9" s="56">
        <f t="shared" si="0"/>
        <v>5.9899999999999984</v>
      </c>
      <c r="L9" s="56"/>
      <c r="M9" s="63">
        <f t="shared" si="1"/>
        <v>24.99</v>
      </c>
      <c r="N9" s="63"/>
      <c r="O9" s="56">
        <f t="shared" si="2"/>
        <v>5.9899999999999984</v>
      </c>
      <c r="P9" s="56"/>
    </row>
    <row r="10" spans="1:21" x14ac:dyDescent="0.25">
      <c r="A10" s="50" t="s">
        <v>59</v>
      </c>
      <c r="B10" s="50"/>
      <c r="C10" s="17" t="s">
        <v>62</v>
      </c>
      <c r="D10" s="17"/>
      <c r="E10" s="17"/>
      <c r="F10" s="3">
        <v>4</v>
      </c>
      <c r="G10" s="58">
        <v>10</v>
      </c>
      <c r="H10" s="58"/>
      <c r="I10" s="60">
        <v>19.989999999999998</v>
      </c>
      <c r="J10" s="60"/>
      <c r="K10" s="56">
        <f t="shared" si="0"/>
        <v>9.9899999999999984</v>
      </c>
      <c r="L10" s="56"/>
      <c r="M10" s="63">
        <f t="shared" si="1"/>
        <v>79.959999999999994</v>
      </c>
      <c r="N10" s="63"/>
      <c r="O10" s="56">
        <f t="shared" si="2"/>
        <v>39.959999999999994</v>
      </c>
      <c r="P10" s="56"/>
    </row>
    <row r="11" spans="1:21" x14ac:dyDescent="0.25">
      <c r="A11" s="50" t="s">
        <v>60</v>
      </c>
      <c r="B11" s="50"/>
      <c r="C11" s="17" t="s">
        <v>63</v>
      </c>
      <c r="D11" s="17"/>
      <c r="E11" s="17"/>
      <c r="F11" s="3">
        <v>40</v>
      </c>
      <c r="G11" s="58">
        <v>3</v>
      </c>
      <c r="H11" s="58"/>
      <c r="I11" s="60">
        <v>8.09</v>
      </c>
      <c r="J11" s="60"/>
      <c r="K11" s="56">
        <f t="shared" si="0"/>
        <v>5.09</v>
      </c>
      <c r="L11" s="56"/>
      <c r="M11" s="63">
        <f t="shared" si="1"/>
        <v>323.60000000000002</v>
      </c>
      <c r="N11" s="63"/>
      <c r="O11" s="56">
        <f t="shared" si="2"/>
        <v>203.6</v>
      </c>
      <c r="P11" s="56"/>
    </row>
    <row r="12" spans="1:21" x14ac:dyDescent="0.25">
      <c r="A12" s="50" t="s">
        <v>64</v>
      </c>
      <c r="B12" s="50"/>
      <c r="C12" s="17" t="s">
        <v>65</v>
      </c>
      <c r="D12" s="17"/>
      <c r="E12" s="17"/>
      <c r="F12" s="3">
        <v>4</v>
      </c>
      <c r="G12" s="58">
        <v>0</v>
      </c>
      <c r="H12" s="58"/>
      <c r="I12" s="60">
        <v>79.989999999999995</v>
      </c>
      <c r="J12" s="60"/>
      <c r="K12" s="56">
        <f t="shared" si="0"/>
        <v>79.989999999999995</v>
      </c>
      <c r="L12" s="56"/>
      <c r="M12" s="63">
        <f t="shared" si="1"/>
        <v>319.95999999999998</v>
      </c>
      <c r="N12" s="63"/>
      <c r="O12" s="56">
        <f t="shared" si="2"/>
        <v>319.95999999999998</v>
      </c>
      <c r="P12" s="56"/>
    </row>
    <row r="15" spans="1:21" ht="15.75" thickBot="1" x14ac:dyDescent="0.3">
      <c r="R15" s="61" t="s">
        <v>69</v>
      </c>
      <c r="S15" s="61"/>
      <c r="T15" s="64">
        <f>SUM(O4:P11)</f>
        <v>6964.2599999999993</v>
      </c>
      <c r="U15" s="17"/>
    </row>
    <row r="16" spans="1:21" ht="16.5" thickTop="1" thickBot="1" x14ac:dyDescent="0.3">
      <c r="R16" s="61" t="s">
        <v>70</v>
      </c>
      <c r="S16" s="61"/>
      <c r="T16" s="64">
        <f>O12</f>
        <v>319.95999999999998</v>
      </c>
      <c r="U16" s="17"/>
    </row>
    <row r="17" ht="15.75" thickTop="1" x14ac:dyDescent="0.25"/>
  </sheetData>
  <mergeCells count="75">
    <mergeCell ref="M9:N9"/>
    <mergeCell ref="O9:P9"/>
    <mergeCell ref="M10:N10"/>
    <mergeCell ref="O10:P10"/>
    <mergeCell ref="M11:N11"/>
    <mergeCell ref="O11:P11"/>
    <mergeCell ref="M6:N6"/>
    <mergeCell ref="O6:P6"/>
    <mergeCell ref="M7:N7"/>
    <mergeCell ref="O7:P7"/>
    <mergeCell ref="M8:N8"/>
    <mergeCell ref="O8:P8"/>
    <mergeCell ref="M3:N3"/>
    <mergeCell ref="O3:P3"/>
    <mergeCell ref="M4:N4"/>
    <mergeCell ref="O4:P4"/>
    <mergeCell ref="M5:N5"/>
    <mergeCell ref="O5:P5"/>
    <mergeCell ref="T15:U15"/>
    <mergeCell ref="R16:S16"/>
    <mergeCell ref="T16:U16"/>
    <mergeCell ref="A12:B12"/>
    <mergeCell ref="C12:E12"/>
    <mergeCell ref="G12:H12"/>
    <mergeCell ref="I12:J12"/>
    <mergeCell ref="K12:L12"/>
    <mergeCell ref="R15:S15"/>
    <mergeCell ref="M12:N12"/>
    <mergeCell ref="O12:P12"/>
    <mergeCell ref="G10:H10"/>
    <mergeCell ref="I10:J10"/>
    <mergeCell ref="K10:L10"/>
    <mergeCell ref="G11:H11"/>
    <mergeCell ref="I11:J11"/>
    <mergeCell ref="K11:L11"/>
    <mergeCell ref="G8:H8"/>
    <mergeCell ref="I8:J8"/>
    <mergeCell ref="K8:L8"/>
    <mergeCell ref="G9:H9"/>
    <mergeCell ref="I9:J9"/>
    <mergeCell ref="K9:L9"/>
    <mergeCell ref="G6:H6"/>
    <mergeCell ref="I6:J6"/>
    <mergeCell ref="K6:L6"/>
    <mergeCell ref="G7:H7"/>
    <mergeCell ref="I7:J7"/>
    <mergeCell ref="K7:L7"/>
    <mergeCell ref="A9:B9"/>
    <mergeCell ref="C9:E9"/>
    <mergeCell ref="A10:B10"/>
    <mergeCell ref="C10:E10"/>
    <mergeCell ref="A11:B11"/>
    <mergeCell ref="C11:E11"/>
    <mergeCell ref="A6:B6"/>
    <mergeCell ref="C6:E6"/>
    <mergeCell ref="A7:B7"/>
    <mergeCell ref="C7:E7"/>
    <mergeCell ref="A8:B8"/>
    <mergeCell ref="C8:E8"/>
    <mergeCell ref="A4:B4"/>
    <mergeCell ref="C4:E4"/>
    <mergeCell ref="G4:H4"/>
    <mergeCell ref="I4:J4"/>
    <mergeCell ref="K4:L4"/>
    <mergeCell ref="A5:B5"/>
    <mergeCell ref="C5:E5"/>
    <mergeCell ref="G5:H5"/>
    <mergeCell ref="I5:J5"/>
    <mergeCell ref="K5:L5"/>
    <mergeCell ref="A1:B1"/>
    <mergeCell ref="A3:B3"/>
    <mergeCell ref="C3:E3"/>
    <mergeCell ref="G3:H3"/>
    <mergeCell ref="I3:J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6ADC-EDEA-401F-9B6E-D558207BF3D1}">
  <dimension ref="A1:U17"/>
  <sheetViews>
    <sheetView workbookViewId="0">
      <selection activeCell="U20" sqref="U20"/>
    </sheetView>
  </sheetViews>
  <sheetFormatPr defaultRowHeight="15" x14ac:dyDescent="0.25"/>
  <sheetData>
    <row r="1" spans="1:21" ht="20.25" thickBot="1" x14ac:dyDescent="0.35">
      <c r="A1" s="51" t="s">
        <v>0</v>
      </c>
      <c r="B1" s="51"/>
    </row>
    <row r="2" spans="1:21" ht="15.75" thickTop="1" x14ac:dyDescent="0.25"/>
    <row r="3" spans="1:21" ht="15.75" thickBot="1" x14ac:dyDescent="0.3">
      <c r="A3" s="53" t="s">
        <v>51</v>
      </c>
      <c r="B3" s="53"/>
      <c r="C3" s="53" t="s">
        <v>52</v>
      </c>
      <c r="D3" s="53"/>
      <c r="E3" s="53"/>
      <c r="F3" s="54" t="s">
        <v>66</v>
      </c>
      <c r="G3" s="53" t="s">
        <v>45</v>
      </c>
      <c r="H3" s="53"/>
      <c r="I3" s="53" t="s">
        <v>46</v>
      </c>
      <c r="J3" s="53"/>
      <c r="K3" s="53" t="s">
        <v>67</v>
      </c>
      <c r="L3" s="53"/>
      <c r="M3" s="53" t="s">
        <v>71</v>
      </c>
      <c r="N3" s="53"/>
      <c r="O3" s="53" t="s">
        <v>72</v>
      </c>
      <c r="P3" s="53"/>
    </row>
    <row r="4" spans="1:21" x14ac:dyDescent="0.25">
      <c r="A4" s="50" t="s">
        <v>47</v>
      </c>
      <c r="B4" s="50"/>
      <c r="C4" s="17" t="s">
        <v>53</v>
      </c>
      <c r="D4" s="17"/>
      <c r="E4" s="17"/>
      <c r="F4" s="3">
        <v>1</v>
      </c>
      <c r="G4" s="57">
        <v>500</v>
      </c>
      <c r="H4" s="57"/>
      <c r="I4" s="59">
        <v>1699.99</v>
      </c>
      <c r="J4" s="59"/>
      <c r="K4" s="56">
        <f>I4-G4</f>
        <v>1199.99</v>
      </c>
      <c r="L4" s="56"/>
      <c r="M4" s="59">
        <f>F4*I4</f>
        <v>1699.99</v>
      </c>
      <c r="N4" s="59"/>
      <c r="O4" s="62">
        <f>F4*K4</f>
        <v>1199.99</v>
      </c>
      <c r="P4" s="62"/>
    </row>
    <row r="5" spans="1:21" x14ac:dyDescent="0.25">
      <c r="A5" s="50" t="s">
        <v>48</v>
      </c>
      <c r="B5" s="50"/>
      <c r="C5" s="17" t="s">
        <v>68</v>
      </c>
      <c r="D5" s="17"/>
      <c r="E5" s="17"/>
      <c r="F5" s="3">
        <v>0</v>
      </c>
      <c r="G5" s="58">
        <v>680</v>
      </c>
      <c r="H5" s="58"/>
      <c r="I5" s="60">
        <v>2100</v>
      </c>
      <c r="J5" s="60"/>
      <c r="K5" s="56">
        <f t="shared" ref="K5:K12" si="0">I5-G5</f>
        <v>1420</v>
      </c>
      <c r="L5" s="56"/>
      <c r="M5" s="63">
        <f>F5*I5</f>
        <v>0</v>
      </c>
      <c r="N5" s="63"/>
      <c r="O5" s="56">
        <f>F5*K5</f>
        <v>0</v>
      </c>
      <c r="P5" s="56"/>
    </row>
    <row r="6" spans="1:21" x14ac:dyDescent="0.25">
      <c r="A6" s="50" t="s">
        <v>49</v>
      </c>
      <c r="B6" s="50"/>
      <c r="C6" s="17" t="s">
        <v>54</v>
      </c>
      <c r="D6" s="17"/>
      <c r="E6" s="17"/>
      <c r="F6" s="3">
        <v>1</v>
      </c>
      <c r="G6" s="58">
        <v>800</v>
      </c>
      <c r="H6" s="58"/>
      <c r="I6" s="60">
        <v>2799.99</v>
      </c>
      <c r="J6" s="60"/>
      <c r="K6" s="56">
        <f t="shared" si="0"/>
        <v>1999.9899999999998</v>
      </c>
      <c r="L6" s="56"/>
      <c r="M6" s="63">
        <f t="shared" ref="M6:M12" si="1">F6*I6</f>
        <v>2799.99</v>
      </c>
      <c r="N6" s="63"/>
      <c r="O6" s="56">
        <f t="shared" ref="O6:O12" si="2">F6*K6</f>
        <v>1999.9899999999998</v>
      </c>
      <c r="P6" s="56"/>
    </row>
    <row r="7" spans="1:21" x14ac:dyDescent="0.25">
      <c r="A7" s="50" t="s">
        <v>50</v>
      </c>
      <c r="B7" s="50"/>
      <c r="C7" s="17" t="s">
        <v>55</v>
      </c>
      <c r="D7" s="17"/>
      <c r="E7" s="17"/>
      <c r="F7" s="3">
        <v>0</v>
      </c>
      <c r="G7" s="58">
        <v>80</v>
      </c>
      <c r="H7" s="58"/>
      <c r="I7" s="60">
        <v>179.88</v>
      </c>
      <c r="J7" s="60"/>
      <c r="K7" s="56">
        <f t="shared" si="0"/>
        <v>99.88</v>
      </c>
      <c r="L7" s="56"/>
      <c r="M7" s="63">
        <f t="shared" si="1"/>
        <v>0</v>
      </c>
      <c r="N7" s="63"/>
      <c r="O7" s="56">
        <f t="shared" si="2"/>
        <v>0</v>
      </c>
      <c r="P7" s="56"/>
    </row>
    <row r="8" spans="1:21" x14ac:dyDescent="0.25">
      <c r="A8" s="50" t="s">
        <v>56</v>
      </c>
      <c r="B8" s="50"/>
      <c r="C8" s="17" t="s">
        <v>57</v>
      </c>
      <c r="D8" s="17"/>
      <c r="E8" s="17"/>
      <c r="F8" s="3">
        <v>0</v>
      </c>
      <c r="G8" s="58">
        <v>135</v>
      </c>
      <c r="H8" s="58"/>
      <c r="I8" s="60">
        <v>249.99</v>
      </c>
      <c r="J8" s="60"/>
      <c r="K8" s="56">
        <f t="shared" si="0"/>
        <v>114.99000000000001</v>
      </c>
      <c r="L8" s="56"/>
      <c r="M8" s="63">
        <f t="shared" si="1"/>
        <v>0</v>
      </c>
      <c r="N8" s="63"/>
      <c r="O8" s="56">
        <f t="shared" si="2"/>
        <v>0</v>
      </c>
      <c r="P8" s="56"/>
    </row>
    <row r="9" spans="1:21" x14ac:dyDescent="0.25">
      <c r="A9" s="50" t="s">
        <v>58</v>
      </c>
      <c r="B9" s="50"/>
      <c r="C9" s="17" t="s">
        <v>61</v>
      </c>
      <c r="D9" s="17"/>
      <c r="E9" s="17"/>
      <c r="F9" s="3">
        <v>0</v>
      </c>
      <c r="G9" s="58">
        <v>19</v>
      </c>
      <c r="H9" s="58"/>
      <c r="I9" s="60">
        <v>24.99</v>
      </c>
      <c r="J9" s="60"/>
      <c r="K9" s="56">
        <f t="shared" si="0"/>
        <v>5.9899999999999984</v>
      </c>
      <c r="L9" s="56"/>
      <c r="M9" s="63">
        <f t="shared" si="1"/>
        <v>0</v>
      </c>
      <c r="N9" s="63"/>
      <c r="O9" s="56">
        <f t="shared" si="2"/>
        <v>0</v>
      </c>
      <c r="P9" s="56"/>
    </row>
    <row r="10" spans="1:21" x14ac:dyDescent="0.25">
      <c r="A10" s="50" t="s">
        <v>59</v>
      </c>
      <c r="B10" s="50"/>
      <c r="C10" s="17" t="s">
        <v>62</v>
      </c>
      <c r="D10" s="17"/>
      <c r="E10" s="17"/>
      <c r="F10" s="3">
        <v>0</v>
      </c>
      <c r="G10" s="58">
        <v>10</v>
      </c>
      <c r="H10" s="58"/>
      <c r="I10" s="60">
        <v>19.989999999999998</v>
      </c>
      <c r="J10" s="60"/>
      <c r="K10" s="56">
        <f t="shared" si="0"/>
        <v>9.9899999999999984</v>
      </c>
      <c r="L10" s="56"/>
      <c r="M10" s="63">
        <f t="shared" si="1"/>
        <v>0</v>
      </c>
      <c r="N10" s="63"/>
      <c r="O10" s="56">
        <f t="shared" si="2"/>
        <v>0</v>
      </c>
      <c r="P10" s="56"/>
    </row>
    <row r="11" spans="1:21" x14ac:dyDescent="0.25">
      <c r="A11" s="50" t="s">
        <v>60</v>
      </c>
      <c r="B11" s="50"/>
      <c r="C11" s="17" t="s">
        <v>63</v>
      </c>
      <c r="D11" s="17"/>
      <c r="E11" s="17"/>
      <c r="F11" s="3">
        <v>0</v>
      </c>
      <c r="G11" s="58">
        <v>3</v>
      </c>
      <c r="H11" s="58"/>
      <c r="I11" s="60">
        <v>8.09</v>
      </c>
      <c r="J11" s="60"/>
      <c r="K11" s="56">
        <f t="shared" si="0"/>
        <v>5.09</v>
      </c>
      <c r="L11" s="56"/>
      <c r="M11" s="63">
        <f t="shared" si="1"/>
        <v>0</v>
      </c>
      <c r="N11" s="63"/>
      <c r="O11" s="56">
        <f t="shared" si="2"/>
        <v>0</v>
      </c>
      <c r="P11" s="56"/>
    </row>
    <row r="12" spans="1:21" x14ac:dyDescent="0.25">
      <c r="A12" s="50" t="s">
        <v>64</v>
      </c>
      <c r="B12" s="50"/>
      <c r="C12" s="17" t="s">
        <v>65</v>
      </c>
      <c r="D12" s="17"/>
      <c r="E12" s="17"/>
      <c r="F12" s="3">
        <v>2</v>
      </c>
      <c r="G12" s="58">
        <v>0</v>
      </c>
      <c r="H12" s="58"/>
      <c r="I12" s="60">
        <v>79.989999999999995</v>
      </c>
      <c r="J12" s="60"/>
      <c r="K12" s="56">
        <f t="shared" si="0"/>
        <v>79.989999999999995</v>
      </c>
      <c r="L12" s="56"/>
      <c r="M12" s="63">
        <f t="shared" si="1"/>
        <v>159.97999999999999</v>
      </c>
      <c r="N12" s="63"/>
      <c r="O12" s="56">
        <f t="shared" si="2"/>
        <v>159.97999999999999</v>
      </c>
      <c r="P12" s="56"/>
    </row>
    <row r="15" spans="1:21" ht="15.75" thickBot="1" x14ac:dyDescent="0.3">
      <c r="R15" s="61" t="s">
        <v>69</v>
      </c>
      <c r="S15" s="61"/>
      <c r="T15" s="64">
        <f>SUM(O4:P11)</f>
        <v>3199.9799999999996</v>
      </c>
      <c r="U15" s="17"/>
    </row>
    <row r="16" spans="1:21" ht="16.5" thickTop="1" thickBot="1" x14ac:dyDescent="0.3">
      <c r="R16" s="61" t="s">
        <v>70</v>
      </c>
      <c r="S16" s="61"/>
      <c r="T16" s="64">
        <f>M12</f>
        <v>159.97999999999999</v>
      </c>
      <c r="U16" s="17"/>
    </row>
    <row r="17" ht="15.75" thickTop="1" x14ac:dyDescent="0.25"/>
  </sheetData>
  <mergeCells count="75">
    <mergeCell ref="O11:P11"/>
    <mergeCell ref="M12:N12"/>
    <mergeCell ref="O12:P12"/>
    <mergeCell ref="R15:S15"/>
    <mergeCell ref="T15:U15"/>
    <mergeCell ref="R16:S16"/>
    <mergeCell ref="T16:U16"/>
    <mergeCell ref="O7:P7"/>
    <mergeCell ref="M8:N8"/>
    <mergeCell ref="O8:P8"/>
    <mergeCell ref="M9:N9"/>
    <mergeCell ref="O9:P9"/>
    <mergeCell ref="M10:N10"/>
    <mergeCell ref="O10:P10"/>
    <mergeCell ref="O3:P3"/>
    <mergeCell ref="M4:N4"/>
    <mergeCell ref="O4:P4"/>
    <mergeCell ref="M5:N5"/>
    <mergeCell ref="O5:P5"/>
    <mergeCell ref="M6:N6"/>
    <mergeCell ref="O6:P6"/>
    <mergeCell ref="A12:B12"/>
    <mergeCell ref="C12:E12"/>
    <mergeCell ref="G12:H12"/>
    <mergeCell ref="I12:J12"/>
    <mergeCell ref="K12:L12"/>
    <mergeCell ref="M3:N3"/>
    <mergeCell ref="M7:N7"/>
    <mergeCell ref="M11:N11"/>
    <mergeCell ref="G10:H10"/>
    <mergeCell ref="I10:J10"/>
    <mergeCell ref="K10:L10"/>
    <mergeCell ref="G11:H11"/>
    <mergeCell ref="I11:J11"/>
    <mergeCell ref="K11:L11"/>
    <mergeCell ref="G8:H8"/>
    <mergeCell ref="I8:J8"/>
    <mergeCell ref="K8:L8"/>
    <mergeCell ref="G9:H9"/>
    <mergeCell ref="I9:J9"/>
    <mergeCell ref="K9:L9"/>
    <mergeCell ref="G6:H6"/>
    <mergeCell ref="I6:J6"/>
    <mergeCell ref="K6:L6"/>
    <mergeCell ref="G7:H7"/>
    <mergeCell ref="I7:J7"/>
    <mergeCell ref="K7:L7"/>
    <mergeCell ref="A9:B9"/>
    <mergeCell ref="C9:E9"/>
    <mergeCell ref="A10:B10"/>
    <mergeCell ref="C10:E10"/>
    <mergeCell ref="A11:B11"/>
    <mergeCell ref="C11:E11"/>
    <mergeCell ref="A6:B6"/>
    <mergeCell ref="C6:E6"/>
    <mergeCell ref="A7:B7"/>
    <mergeCell ref="C7:E7"/>
    <mergeCell ref="A8:B8"/>
    <mergeCell ref="C8:E8"/>
    <mergeCell ref="A4:B4"/>
    <mergeCell ref="C4:E4"/>
    <mergeCell ref="G4:H4"/>
    <mergeCell ref="I4:J4"/>
    <mergeCell ref="K4:L4"/>
    <mergeCell ref="A5:B5"/>
    <mergeCell ref="C5:E5"/>
    <mergeCell ref="G5:H5"/>
    <mergeCell ref="I5:J5"/>
    <mergeCell ref="K5:L5"/>
    <mergeCell ref="A1:B1"/>
    <mergeCell ref="A3:B3"/>
    <mergeCell ref="C3:E3"/>
    <mergeCell ref="G3:H3"/>
    <mergeCell ref="I3:J3"/>
    <mergeCell ref="K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9DC4-953C-4288-96CB-F88F73690D65}">
  <dimension ref="A1:AS20"/>
  <sheetViews>
    <sheetView topLeftCell="M1" workbookViewId="0">
      <selection activeCell="AC32" sqref="AC32"/>
    </sheetView>
  </sheetViews>
  <sheetFormatPr defaultRowHeight="15" x14ac:dyDescent="0.25"/>
  <cols>
    <col min="6" max="6" width="9.140625" customWidth="1"/>
    <col min="15" max="15" width="4.28515625" customWidth="1"/>
    <col min="16" max="16" width="4.140625" customWidth="1"/>
    <col min="17" max="17" width="5.28515625" customWidth="1"/>
    <col min="23" max="23" width="9.5703125" customWidth="1"/>
    <col min="25" max="25" width="9.42578125" customWidth="1"/>
    <col min="41" max="41" width="11.85546875" customWidth="1"/>
    <col min="43" max="43" width="10.42578125" customWidth="1"/>
  </cols>
  <sheetData>
    <row r="1" spans="1:45" s="27" customFormat="1" x14ac:dyDescent="0.25">
      <c r="A1" s="25" t="s">
        <v>18</v>
      </c>
      <c r="B1" s="25"/>
      <c r="C1" s="25"/>
      <c r="D1" s="25"/>
      <c r="E1" s="26" t="s">
        <v>21</v>
      </c>
      <c r="F1" s="25" t="s">
        <v>19</v>
      </c>
      <c r="G1" s="25"/>
      <c r="H1" s="25"/>
      <c r="I1" s="25" t="s">
        <v>20</v>
      </c>
      <c r="J1" s="25"/>
      <c r="K1" s="25" t="s">
        <v>22</v>
      </c>
      <c r="L1" s="25"/>
      <c r="M1" s="25" t="s">
        <v>23</v>
      </c>
      <c r="N1" s="25"/>
      <c r="O1" s="27" t="s">
        <v>32</v>
      </c>
      <c r="P1" s="27" t="s">
        <v>33</v>
      </c>
      <c r="Q1" s="27" t="s">
        <v>34</v>
      </c>
      <c r="R1" s="25" t="s">
        <v>35</v>
      </c>
      <c r="S1" s="25"/>
      <c r="T1" s="25" t="s">
        <v>25</v>
      </c>
      <c r="U1" s="25"/>
      <c r="V1" s="25" t="s">
        <v>26</v>
      </c>
      <c r="W1" s="25"/>
      <c r="X1" s="25" t="s">
        <v>27</v>
      </c>
      <c r="Y1" s="25"/>
      <c r="Z1" s="25" t="s">
        <v>28</v>
      </c>
      <c r="AA1" s="25"/>
      <c r="AB1" s="25" t="s">
        <v>29</v>
      </c>
      <c r="AC1" s="25"/>
      <c r="AD1" s="25" t="s">
        <v>30</v>
      </c>
      <c r="AE1" s="25"/>
      <c r="AF1" s="25" t="s">
        <v>31</v>
      </c>
      <c r="AG1" s="25"/>
      <c r="AH1" s="28" t="s">
        <v>36</v>
      </c>
      <c r="AI1" s="28"/>
      <c r="AJ1" s="44" t="s">
        <v>39</v>
      </c>
      <c r="AK1" s="45"/>
      <c r="AL1" s="44" t="s">
        <v>40</v>
      </c>
      <c r="AM1" s="45"/>
      <c r="AN1" s="44" t="s">
        <v>42</v>
      </c>
      <c r="AO1" s="45"/>
      <c r="AP1" s="44" t="s">
        <v>43</v>
      </c>
      <c r="AQ1" s="45"/>
      <c r="AR1" s="44" t="s">
        <v>36</v>
      </c>
      <c r="AS1" s="45"/>
    </row>
    <row r="2" spans="1:45" x14ac:dyDescent="0.25">
      <c r="A2" s="30" t="s">
        <v>24</v>
      </c>
      <c r="B2" s="30"/>
      <c r="C2" s="30"/>
      <c r="D2" s="30"/>
      <c r="E2" s="31">
        <v>4</v>
      </c>
      <c r="F2" s="32">
        <v>125</v>
      </c>
      <c r="G2" s="32"/>
      <c r="H2" s="32"/>
      <c r="I2" s="30">
        <v>3.85</v>
      </c>
      <c r="J2" s="30"/>
      <c r="K2" s="36">
        <f>E2*F2</f>
        <v>500</v>
      </c>
      <c r="L2" s="37"/>
      <c r="M2" s="37">
        <f>E2*I2</f>
        <v>15.4</v>
      </c>
      <c r="N2" s="37"/>
      <c r="O2" s="33">
        <v>30</v>
      </c>
      <c r="P2" s="33">
        <v>66</v>
      </c>
      <c r="Q2" s="33">
        <v>57</v>
      </c>
      <c r="R2" s="34">
        <f>O2*P2*Q2/5000</f>
        <v>22.571999999999999</v>
      </c>
      <c r="S2" s="34"/>
      <c r="T2" s="42">
        <v>7.5</v>
      </c>
      <c r="U2" s="43"/>
      <c r="V2" s="35">
        <f>X2/E2</f>
        <v>42.322499999999998</v>
      </c>
      <c r="W2" s="35"/>
      <c r="X2" s="35">
        <f>R2*T2</f>
        <v>169.29</v>
      </c>
      <c r="Y2" s="35"/>
      <c r="Z2" s="40">
        <f>F2+V2</f>
        <v>167.32249999999999</v>
      </c>
      <c r="AA2" s="41"/>
      <c r="AB2" s="35">
        <f>(K2+X2)</f>
        <v>669.29</v>
      </c>
      <c r="AC2" s="35"/>
      <c r="AD2" s="38">
        <v>350</v>
      </c>
      <c r="AE2" s="38"/>
      <c r="AF2" s="35">
        <f>AD2*E2</f>
        <v>1400</v>
      </c>
      <c r="AG2" s="35"/>
      <c r="AH2" s="29">
        <f>AF2-AB2</f>
        <v>730.71</v>
      </c>
      <c r="AI2" s="29"/>
      <c r="AJ2" s="38">
        <f>AB2</f>
        <v>669.29</v>
      </c>
      <c r="AK2" s="30"/>
      <c r="AL2" s="46">
        <f>(AF2-AJ2)/AJ2</f>
        <v>1.0917688894201318</v>
      </c>
      <c r="AM2" s="46"/>
      <c r="AN2" s="47">
        <v>0.2</v>
      </c>
      <c r="AO2" s="48"/>
      <c r="AP2" s="49">
        <f>AH2*AN2</f>
        <v>146.14200000000002</v>
      </c>
      <c r="AQ2" s="39"/>
      <c r="AR2" s="39"/>
      <c r="AS2" s="39"/>
    </row>
    <row r="3" spans="1:45" x14ac:dyDescent="0.25">
      <c r="A3" s="30" t="s">
        <v>37</v>
      </c>
      <c r="B3" s="30"/>
      <c r="C3" s="30"/>
      <c r="D3" s="30"/>
      <c r="E3" s="31">
        <v>50</v>
      </c>
      <c r="F3" s="32">
        <v>7.85</v>
      </c>
      <c r="G3" s="32"/>
      <c r="H3" s="32"/>
      <c r="I3" s="30">
        <v>0.4</v>
      </c>
      <c r="J3" s="30"/>
      <c r="K3" s="36">
        <f>E3*F3</f>
        <v>392.5</v>
      </c>
      <c r="L3" s="37"/>
      <c r="M3" s="37">
        <f>E3*I3</f>
        <v>20</v>
      </c>
      <c r="N3" s="37"/>
      <c r="O3" s="33"/>
      <c r="P3" s="33"/>
      <c r="Q3" s="33"/>
      <c r="R3" s="34">
        <v>18</v>
      </c>
      <c r="S3" s="34"/>
      <c r="T3" s="42">
        <v>7.5</v>
      </c>
      <c r="U3" s="43"/>
      <c r="V3" s="35">
        <f>X3/E3</f>
        <v>2.7</v>
      </c>
      <c r="W3" s="35"/>
      <c r="X3" s="35">
        <f>R3*T3</f>
        <v>135</v>
      </c>
      <c r="Y3" s="35"/>
      <c r="Z3" s="40">
        <f>F3+V3</f>
        <v>10.55</v>
      </c>
      <c r="AA3" s="41"/>
      <c r="AB3" s="35">
        <f>(K3+X3)</f>
        <v>527.5</v>
      </c>
      <c r="AC3" s="35"/>
      <c r="AD3" s="38">
        <v>50</v>
      </c>
      <c r="AE3" s="38"/>
      <c r="AF3" s="35">
        <f>AD3*E3</f>
        <v>2500</v>
      </c>
      <c r="AG3" s="35"/>
      <c r="AH3" s="29">
        <f>AF3-AB3</f>
        <v>1972.5</v>
      </c>
      <c r="AI3" s="29"/>
      <c r="AJ3" s="38">
        <f t="shared" ref="AJ3:AJ4" si="0">AB3</f>
        <v>527.5</v>
      </c>
      <c r="AK3" s="30"/>
      <c r="AL3" s="46">
        <f t="shared" ref="AL3:AL4" si="1">(AF3-AJ3)/AJ3</f>
        <v>3.7393364928909953</v>
      </c>
      <c r="AM3" s="46"/>
      <c r="AN3" s="47">
        <v>0.2</v>
      </c>
      <c r="AO3" s="48"/>
      <c r="AP3" s="49">
        <f t="shared" ref="AP3:AP5" si="2">AH3*AN3</f>
        <v>394.5</v>
      </c>
      <c r="AQ3" s="39"/>
      <c r="AR3" s="39"/>
      <c r="AS3" s="39"/>
    </row>
    <row r="4" spans="1:45" x14ac:dyDescent="0.25">
      <c r="A4" s="30" t="s">
        <v>38</v>
      </c>
      <c r="B4" s="30"/>
      <c r="C4" s="30"/>
      <c r="D4" s="30"/>
      <c r="E4" s="31">
        <v>8</v>
      </c>
      <c r="F4" s="32">
        <v>25.9</v>
      </c>
      <c r="G4" s="32"/>
      <c r="H4" s="32"/>
      <c r="I4" s="32"/>
      <c r="J4" s="32"/>
      <c r="K4" s="36">
        <f>E4*F4</f>
        <v>207.2</v>
      </c>
      <c r="L4" s="37"/>
      <c r="M4" s="37"/>
      <c r="N4" s="37"/>
      <c r="O4" s="33"/>
      <c r="P4" s="33"/>
      <c r="Q4" s="33"/>
      <c r="R4" s="34">
        <v>24.5</v>
      </c>
      <c r="S4" s="34"/>
      <c r="T4" s="42">
        <v>7.5</v>
      </c>
      <c r="U4" s="43"/>
      <c r="V4" s="35">
        <f>X4/E4</f>
        <v>22.96875</v>
      </c>
      <c r="W4" s="35"/>
      <c r="X4" s="35">
        <f>R4*T4</f>
        <v>183.75</v>
      </c>
      <c r="Y4" s="35"/>
      <c r="Z4" s="40">
        <f>F4+V4</f>
        <v>48.868749999999999</v>
      </c>
      <c r="AA4" s="41"/>
      <c r="AB4" s="35">
        <f>(K4+X4)</f>
        <v>390.95</v>
      </c>
      <c r="AC4" s="35"/>
      <c r="AD4" s="38">
        <v>80</v>
      </c>
      <c r="AE4" s="38"/>
      <c r="AF4" s="35">
        <f>AD4*E4</f>
        <v>640</v>
      </c>
      <c r="AG4" s="35"/>
      <c r="AH4" s="29">
        <f>AF4-AB4</f>
        <v>249.05</v>
      </c>
      <c r="AI4" s="29"/>
      <c r="AJ4" s="38">
        <f t="shared" si="0"/>
        <v>390.95</v>
      </c>
      <c r="AK4" s="30"/>
      <c r="AL4" s="46">
        <f t="shared" si="1"/>
        <v>0.63703798439698178</v>
      </c>
      <c r="AM4" s="46"/>
      <c r="AN4" s="47">
        <v>0.2</v>
      </c>
      <c r="AO4" s="48"/>
      <c r="AP4" s="49">
        <f t="shared" si="2"/>
        <v>49.81</v>
      </c>
      <c r="AQ4" s="39"/>
      <c r="AR4" s="39"/>
      <c r="AS4" s="39"/>
    </row>
    <row r="5" spans="1:45" x14ac:dyDescent="0.25">
      <c r="A5" s="30" t="s">
        <v>41</v>
      </c>
      <c r="B5" s="30"/>
      <c r="C5" s="30"/>
      <c r="D5" s="30"/>
      <c r="E5" s="31">
        <v>2000</v>
      </c>
      <c r="F5" s="32">
        <v>0.3</v>
      </c>
      <c r="G5" s="32"/>
      <c r="H5" s="32"/>
      <c r="I5" s="32">
        <v>0.1</v>
      </c>
      <c r="J5" s="32"/>
      <c r="K5" s="36">
        <f>E5*F5</f>
        <v>600</v>
      </c>
      <c r="L5" s="37"/>
      <c r="M5" s="37">
        <v>20</v>
      </c>
      <c r="N5" s="37"/>
      <c r="O5" s="33"/>
      <c r="P5" s="33"/>
      <c r="Q5" s="33"/>
      <c r="R5" s="34">
        <v>25</v>
      </c>
      <c r="S5" s="34"/>
      <c r="T5" s="42">
        <v>7.5</v>
      </c>
      <c r="U5" s="43"/>
      <c r="V5" s="35">
        <f>X5/E5</f>
        <v>9.375E-2</v>
      </c>
      <c r="W5" s="35"/>
      <c r="X5" s="35">
        <f>R5*T5</f>
        <v>187.5</v>
      </c>
      <c r="Y5" s="35"/>
      <c r="Z5" s="40">
        <f>F5+V5</f>
        <v>0.39374999999999999</v>
      </c>
      <c r="AA5" s="41"/>
      <c r="AB5" s="35">
        <f>(K5+X5)</f>
        <v>787.5</v>
      </c>
      <c r="AC5" s="35"/>
      <c r="AD5" s="38">
        <v>1</v>
      </c>
      <c r="AE5" s="38"/>
      <c r="AF5" s="35">
        <f>AD5*E5</f>
        <v>2000</v>
      </c>
      <c r="AG5" s="35"/>
      <c r="AH5" s="29">
        <f>AF5-AB5</f>
        <v>1212.5</v>
      </c>
      <c r="AI5" s="29"/>
      <c r="AJ5" s="38">
        <f t="shared" ref="AJ5" si="3">AB5</f>
        <v>787.5</v>
      </c>
      <c r="AK5" s="30"/>
      <c r="AL5" s="46">
        <f t="shared" ref="AL5" si="4">(AF5-AJ5)/AJ5</f>
        <v>1.5396825396825398</v>
      </c>
      <c r="AM5" s="46"/>
      <c r="AN5" s="47">
        <v>0.2</v>
      </c>
      <c r="AO5" s="48"/>
      <c r="AP5" s="49">
        <f t="shared" si="2"/>
        <v>242.5</v>
      </c>
      <c r="AQ5" s="39"/>
      <c r="AR5" s="39"/>
      <c r="AS5" s="39"/>
    </row>
    <row r="6" spans="1:45" x14ac:dyDescent="0.25">
      <c r="A6" s="30" t="s">
        <v>44</v>
      </c>
      <c r="B6" s="30"/>
      <c r="C6" s="30"/>
      <c r="D6" s="30"/>
      <c r="E6" s="31">
        <v>14</v>
      </c>
      <c r="F6" s="32">
        <v>25</v>
      </c>
      <c r="G6" s="32"/>
      <c r="H6" s="32"/>
      <c r="I6" s="32">
        <v>1.1399999999999999</v>
      </c>
      <c r="J6" s="32"/>
      <c r="K6" s="36">
        <f>E6*F6</f>
        <v>350</v>
      </c>
      <c r="L6" s="37"/>
      <c r="M6" s="37">
        <v>16</v>
      </c>
      <c r="N6" s="37"/>
      <c r="O6" s="33"/>
      <c r="P6" s="33"/>
      <c r="Q6" s="33"/>
      <c r="R6" s="34">
        <v>16</v>
      </c>
      <c r="S6" s="34"/>
      <c r="T6" s="42">
        <v>7.5</v>
      </c>
      <c r="U6" s="43"/>
      <c r="V6" s="35">
        <f>X6/E6</f>
        <v>8.5714285714285712</v>
      </c>
      <c r="W6" s="35"/>
      <c r="X6" s="35">
        <f>R6*T6</f>
        <v>120</v>
      </c>
      <c r="Y6" s="35"/>
      <c r="Z6" s="40">
        <f>F6+V6</f>
        <v>33.571428571428569</v>
      </c>
      <c r="AA6" s="41"/>
      <c r="AB6" s="35">
        <f>(K6+X6)</f>
        <v>470</v>
      </c>
      <c r="AC6" s="35"/>
      <c r="AD6" s="38">
        <v>60</v>
      </c>
      <c r="AE6" s="38"/>
      <c r="AF6" s="35">
        <f>AD6*E6</f>
        <v>840</v>
      </c>
      <c r="AG6" s="35"/>
      <c r="AH6" s="29">
        <f>AF6-AB6</f>
        <v>370</v>
      </c>
      <c r="AI6" s="29"/>
      <c r="AJ6" s="38">
        <f t="shared" ref="AJ6" si="5">AB6</f>
        <v>470</v>
      </c>
      <c r="AK6" s="30"/>
      <c r="AL6" s="46">
        <f t="shared" ref="AL6" si="6">(AF6-AJ6)/AJ6</f>
        <v>0.78723404255319152</v>
      </c>
      <c r="AM6" s="46"/>
      <c r="AN6" s="47">
        <v>0.2</v>
      </c>
      <c r="AO6" s="48"/>
    </row>
    <row r="7" spans="1:45" x14ac:dyDescent="0.25">
      <c r="A7" s="30"/>
      <c r="B7" s="30"/>
      <c r="C7" s="30"/>
      <c r="D7" s="30"/>
      <c r="E7" s="31"/>
      <c r="F7" s="32"/>
      <c r="G7" s="32"/>
      <c r="H7" s="32"/>
      <c r="I7" s="32"/>
      <c r="J7" s="32"/>
      <c r="K7" s="36"/>
      <c r="L7" s="37"/>
      <c r="M7" s="37"/>
      <c r="N7" s="37"/>
      <c r="O7" s="33"/>
      <c r="P7" s="33"/>
      <c r="Q7" s="33"/>
      <c r="R7" s="34"/>
      <c r="S7" s="34"/>
      <c r="T7" s="42"/>
      <c r="U7" s="43"/>
      <c r="V7" s="35"/>
      <c r="W7" s="35"/>
      <c r="X7" s="35"/>
      <c r="Y7" s="35"/>
      <c r="Z7" s="40"/>
      <c r="AA7" s="41"/>
      <c r="AB7" s="35"/>
      <c r="AC7" s="35"/>
      <c r="AD7" s="38"/>
      <c r="AE7" s="38"/>
      <c r="AF7" s="35"/>
      <c r="AG7" s="35"/>
      <c r="AH7" s="29"/>
      <c r="AI7" s="29"/>
      <c r="AJ7" s="30"/>
      <c r="AK7" s="30"/>
      <c r="AL7" s="30"/>
      <c r="AM7" s="30"/>
    </row>
    <row r="8" spans="1:45" x14ac:dyDescent="0.25">
      <c r="A8" s="30"/>
      <c r="B8" s="30"/>
      <c r="C8" s="30"/>
      <c r="D8" s="30"/>
      <c r="E8" s="31"/>
      <c r="F8" s="32"/>
      <c r="G8" s="32"/>
      <c r="H8" s="32"/>
      <c r="I8" s="32"/>
      <c r="J8" s="32"/>
      <c r="K8" s="36"/>
      <c r="L8" s="37"/>
      <c r="M8" s="37"/>
      <c r="N8" s="37"/>
      <c r="O8" s="33"/>
      <c r="P8" s="33"/>
      <c r="Q8" s="33"/>
      <c r="R8" s="34"/>
      <c r="S8" s="34"/>
      <c r="T8" s="42"/>
      <c r="U8" s="43"/>
      <c r="V8" s="35"/>
      <c r="W8" s="35"/>
      <c r="X8" s="35"/>
      <c r="Y8" s="35"/>
      <c r="Z8" s="40"/>
      <c r="AA8" s="41"/>
      <c r="AB8" s="35"/>
      <c r="AC8" s="35"/>
      <c r="AD8" s="38"/>
      <c r="AE8" s="38"/>
      <c r="AF8" s="35"/>
      <c r="AG8" s="35"/>
      <c r="AH8" s="29"/>
      <c r="AI8" s="29"/>
      <c r="AJ8" s="30"/>
      <c r="AK8" s="30"/>
      <c r="AL8" s="30"/>
      <c r="AM8" s="30"/>
    </row>
    <row r="9" spans="1:45" x14ac:dyDescent="0.25">
      <c r="A9" s="30"/>
      <c r="B9" s="30"/>
      <c r="C9" s="30"/>
      <c r="D9" s="30"/>
      <c r="E9" s="31"/>
      <c r="F9" s="32"/>
      <c r="G9" s="32"/>
      <c r="H9" s="32"/>
      <c r="I9" s="32"/>
      <c r="J9" s="32"/>
      <c r="K9" s="36"/>
      <c r="L9" s="37"/>
      <c r="M9" s="37"/>
      <c r="N9" s="37"/>
      <c r="O9" s="33"/>
      <c r="P9" s="33"/>
      <c r="Q9" s="33"/>
      <c r="R9" s="34"/>
      <c r="S9" s="34"/>
      <c r="T9" s="42"/>
      <c r="U9" s="43"/>
      <c r="V9" s="35"/>
      <c r="W9" s="35"/>
      <c r="X9" s="35"/>
      <c r="Y9" s="35"/>
      <c r="Z9" s="40"/>
      <c r="AA9" s="41"/>
      <c r="AB9" s="35"/>
      <c r="AC9" s="35"/>
      <c r="AD9" s="38"/>
      <c r="AE9" s="38"/>
      <c r="AF9" s="35"/>
      <c r="AG9" s="35"/>
      <c r="AH9" s="29"/>
      <c r="AI9" s="29"/>
      <c r="AJ9" s="30"/>
      <c r="AK9" s="30"/>
      <c r="AL9" s="30"/>
      <c r="AM9" s="30"/>
    </row>
    <row r="10" spans="1:45" x14ac:dyDescent="0.25">
      <c r="A10" s="30"/>
      <c r="B10" s="30"/>
      <c r="C10" s="30"/>
      <c r="D10" s="30"/>
      <c r="E10" s="31"/>
      <c r="F10" s="32"/>
      <c r="G10" s="32"/>
      <c r="H10" s="32"/>
      <c r="I10" s="32"/>
      <c r="J10" s="32"/>
      <c r="K10" s="36"/>
      <c r="L10" s="37"/>
      <c r="M10" s="37"/>
      <c r="N10" s="37"/>
      <c r="O10" s="33"/>
      <c r="P10" s="33"/>
      <c r="Q10" s="33"/>
      <c r="R10" s="34"/>
      <c r="S10" s="34"/>
      <c r="T10" s="42"/>
      <c r="U10" s="43"/>
      <c r="V10" s="35"/>
      <c r="W10" s="35"/>
      <c r="X10" s="35"/>
      <c r="Y10" s="35"/>
      <c r="Z10" s="40"/>
      <c r="AA10" s="41"/>
      <c r="AB10" s="35"/>
      <c r="AC10" s="35"/>
      <c r="AD10" s="38"/>
      <c r="AE10" s="38"/>
      <c r="AF10" s="35"/>
      <c r="AG10" s="35"/>
      <c r="AH10" s="29"/>
      <c r="AI10" s="29"/>
      <c r="AJ10" s="30"/>
      <c r="AK10" s="30"/>
      <c r="AL10" s="30"/>
      <c r="AM10" s="30"/>
    </row>
    <row r="11" spans="1:45" x14ac:dyDescent="0.25">
      <c r="A11" s="30"/>
      <c r="B11" s="30"/>
      <c r="C11" s="30"/>
      <c r="D11" s="30"/>
      <c r="E11" s="31"/>
      <c r="F11" s="32"/>
      <c r="G11" s="32"/>
      <c r="H11" s="32"/>
      <c r="I11" s="32"/>
      <c r="J11" s="32"/>
      <c r="K11" s="36"/>
      <c r="L11" s="37"/>
      <c r="M11" s="37"/>
      <c r="N11" s="37"/>
      <c r="O11" s="33"/>
      <c r="P11" s="33"/>
      <c r="Q11" s="33"/>
      <c r="R11" s="34"/>
      <c r="S11" s="34"/>
      <c r="T11" s="42"/>
      <c r="U11" s="43"/>
      <c r="V11" s="35"/>
      <c r="W11" s="35"/>
      <c r="X11" s="35"/>
      <c r="Y11" s="35"/>
      <c r="Z11" s="40"/>
      <c r="AA11" s="41"/>
      <c r="AB11" s="35"/>
      <c r="AC11" s="35"/>
      <c r="AD11" s="38"/>
      <c r="AE11" s="38"/>
      <c r="AF11" s="35"/>
      <c r="AG11" s="35"/>
      <c r="AH11" s="29"/>
      <c r="AI11" s="29"/>
      <c r="AJ11" s="30"/>
      <c r="AK11" s="30"/>
      <c r="AL11" s="30"/>
      <c r="AM11" s="30"/>
    </row>
    <row r="12" spans="1:45" x14ac:dyDescent="0.25">
      <c r="A12" s="30"/>
      <c r="B12" s="30"/>
      <c r="C12" s="30"/>
      <c r="D12" s="30"/>
      <c r="E12" s="31"/>
      <c r="F12" s="32"/>
      <c r="G12" s="32"/>
      <c r="H12" s="32"/>
      <c r="I12" s="32"/>
      <c r="J12" s="32"/>
      <c r="K12" s="36"/>
      <c r="L12" s="37"/>
      <c r="M12" s="37"/>
      <c r="N12" s="37"/>
      <c r="O12" s="33"/>
      <c r="P12" s="33"/>
      <c r="Q12" s="33"/>
      <c r="R12" s="34"/>
      <c r="S12" s="34"/>
      <c r="T12" s="42"/>
      <c r="U12" s="43"/>
      <c r="V12" s="35"/>
      <c r="W12" s="35"/>
      <c r="X12" s="35"/>
      <c r="Y12" s="35"/>
      <c r="Z12" s="40"/>
      <c r="AA12" s="41"/>
      <c r="AB12" s="35"/>
      <c r="AC12" s="35"/>
      <c r="AD12" s="38"/>
      <c r="AE12" s="38"/>
      <c r="AF12" s="35"/>
      <c r="AG12" s="35"/>
      <c r="AH12" s="29"/>
      <c r="AI12" s="29"/>
      <c r="AJ12" s="30"/>
      <c r="AK12" s="30"/>
      <c r="AL12" s="30"/>
      <c r="AM12" s="30"/>
    </row>
    <row r="13" spans="1:45" x14ac:dyDescent="0.25">
      <c r="A13" s="30"/>
      <c r="B13" s="30"/>
      <c r="C13" s="30"/>
      <c r="D13" s="30"/>
      <c r="E13" s="31"/>
      <c r="F13" s="32"/>
      <c r="G13" s="32"/>
      <c r="H13" s="32"/>
      <c r="I13" s="32"/>
      <c r="J13" s="32"/>
      <c r="K13" s="36"/>
      <c r="L13" s="37"/>
      <c r="M13" s="37"/>
      <c r="N13" s="37"/>
      <c r="O13" s="33"/>
      <c r="P13" s="33"/>
      <c r="Q13" s="33"/>
      <c r="R13" s="34"/>
      <c r="S13" s="34"/>
      <c r="T13" s="42"/>
      <c r="U13" s="43"/>
      <c r="V13" s="35"/>
      <c r="W13" s="35"/>
      <c r="X13" s="35"/>
      <c r="Y13" s="35"/>
      <c r="Z13" s="40"/>
      <c r="AA13" s="41"/>
      <c r="AB13" s="35"/>
      <c r="AC13" s="35"/>
      <c r="AD13" s="38"/>
      <c r="AE13" s="38"/>
      <c r="AF13" s="35"/>
      <c r="AG13" s="35"/>
      <c r="AH13" s="29"/>
      <c r="AI13" s="29"/>
      <c r="AJ13" s="30"/>
      <c r="AK13" s="30"/>
      <c r="AL13" s="30"/>
      <c r="AM13" s="30"/>
    </row>
    <row r="14" spans="1:45" x14ac:dyDescent="0.25">
      <c r="A14" s="30"/>
      <c r="B14" s="30"/>
      <c r="C14" s="30"/>
      <c r="D14" s="30"/>
      <c r="E14" s="31"/>
      <c r="F14" s="32"/>
      <c r="G14" s="32"/>
      <c r="H14" s="32"/>
      <c r="I14" s="32"/>
      <c r="J14" s="32"/>
      <c r="K14" s="36"/>
      <c r="L14" s="37"/>
      <c r="M14" s="37"/>
      <c r="N14" s="37"/>
      <c r="O14" s="33"/>
      <c r="P14" s="33"/>
      <c r="Q14" s="33"/>
      <c r="R14" s="34"/>
      <c r="S14" s="34"/>
      <c r="T14" s="42"/>
      <c r="U14" s="43"/>
      <c r="V14" s="35"/>
      <c r="W14" s="35"/>
      <c r="X14" s="35"/>
      <c r="Y14" s="35"/>
      <c r="Z14" s="40"/>
      <c r="AA14" s="41"/>
      <c r="AB14" s="35"/>
      <c r="AC14" s="35"/>
      <c r="AD14" s="38"/>
      <c r="AE14" s="38"/>
      <c r="AF14" s="35"/>
      <c r="AG14" s="35"/>
      <c r="AH14" s="29"/>
      <c r="AI14" s="29"/>
      <c r="AJ14" s="30"/>
      <c r="AK14" s="30"/>
      <c r="AL14" s="30"/>
      <c r="AM14" s="30"/>
    </row>
    <row r="15" spans="1:45" x14ac:dyDescent="0.25">
      <c r="A15" s="30"/>
      <c r="B15" s="30"/>
      <c r="C15" s="30"/>
      <c r="D15" s="30"/>
      <c r="E15" s="31"/>
      <c r="F15" s="32"/>
      <c r="G15" s="32"/>
      <c r="H15" s="32"/>
      <c r="I15" s="32"/>
      <c r="J15" s="32"/>
      <c r="K15" s="36"/>
      <c r="L15" s="37"/>
      <c r="M15" s="37"/>
      <c r="N15" s="37"/>
      <c r="O15" s="33"/>
      <c r="P15" s="33"/>
      <c r="Q15" s="33"/>
      <c r="R15" s="34"/>
      <c r="S15" s="34"/>
      <c r="T15" s="42"/>
      <c r="U15" s="43"/>
      <c r="V15" s="35"/>
      <c r="W15" s="35"/>
      <c r="X15" s="35"/>
      <c r="Y15" s="35"/>
      <c r="Z15" s="40"/>
      <c r="AA15" s="41"/>
      <c r="AB15" s="35"/>
      <c r="AC15" s="35"/>
      <c r="AD15" s="38"/>
      <c r="AE15" s="38"/>
      <c r="AF15" s="35"/>
      <c r="AG15" s="35"/>
      <c r="AH15" s="29"/>
      <c r="AI15" s="29"/>
      <c r="AJ15" s="30"/>
      <c r="AK15" s="30"/>
      <c r="AL15" s="30"/>
      <c r="AM15" s="30"/>
    </row>
    <row r="16" spans="1:45" x14ac:dyDescent="0.25">
      <c r="A16" s="30"/>
      <c r="B16" s="30"/>
      <c r="C16" s="30"/>
      <c r="D16" s="30"/>
      <c r="E16" s="31"/>
      <c r="F16" s="32"/>
      <c r="G16" s="32"/>
      <c r="H16" s="32"/>
      <c r="I16" s="32"/>
      <c r="J16" s="32"/>
      <c r="K16" s="36"/>
      <c r="L16" s="37"/>
      <c r="M16" s="37"/>
      <c r="N16" s="37"/>
      <c r="O16" s="33"/>
      <c r="P16" s="33"/>
      <c r="Q16" s="33"/>
      <c r="R16" s="34"/>
      <c r="S16" s="34"/>
      <c r="T16" s="42"/>
      <c r="U16" s="43"/>
      <c r="V16" s="35"/>
      <c r="W16" s="35"/>
      <c r="X16" s="35"/>
      <c r="Y16" s="35"/>
      <c r="Z16" s="40"/>
      <c r="AA16" s="41"/>
      <c r="AB16" s="35"/>
      <c r="AC16" s="35"/>
      <c r="AD16" s="38"/>
      <c r="AE16" s="38"/>
      <c r="AF16" s="35"/>
      <c r="AG16" s="35"/>
      <c r="AH16" s="29"/>
      <c r="AI16" s="29"/>
      <c r="AJ16" s="30"/>
      <c r="AK16" s="30"/>
      <c r="AL16" s="30"/>
      <c r="AM16" s="30"/>
    </row>
    <row r="17" spans="1:39" x14ac:dyDescent="0.25">
      <c r="A17" s="30"/>
      <c r="B17" s="30"/>
      <c r="C17" s="30"/>
      <c r="D17" s="30"/>
      <c r="E17" s="31"/>
      <c r="F17" s="32"/>
      <c r="G17" s="32"/>
      <c r="H17" s="32"/>
      <c r="I17" s="32"/>
      <c r="J17" s="32"/>
      <c r="K17" s="36"/>
      <c r="L17" s="37"/>
      <c r="M17" s="37"/>
      <c r="N17" s="37"/>
      <c r="O17" s="33"/>
      <c r="P17" s="33"/>
      <c r="Q17" s="33"/>
      <c r="R17" s="34"/>
      <c r="S17" s="34"/>
      <c r="T17" s="42"/>
      <c r="U17" s="43"/>
      <c r="V17" s="35"/>
      <c r="W17" s="35"/>
      <c r="X17" s="35"/>
      <c r="Y17" s="35"/>
      <c r="Z17" s="40"/>
      <c r="AA17" s="41"/>
      <c r="AB17" s="35"/>
      <c r="AC17" s="35"/>
      <c r="AD17" s="38"/>
      <c r="AE17" s="38"/>
      <c r="AF17" s="35"/>
      <c r="AG17" s="35"/>
      <c r="AH17" s="29"/>
      <c r="AI17" s="29"/>
      <c r="AJ17" s="30"/>
      <c r="AK17" s="30"/>
      <c r="AL17" s="30"/>
      <c r="AM17" s="30"/>
    </row>
    <row r="18" spans="1:39" x14ac:dyDescent="0.25">
      <c r="A18" s="30"/>
      <c r="B18" s="30"/>
      <c r="C18" s="30"/>
      <c r="D18" s="30"/>
      <c r="E18" s="31"/>
      <c r="F18" s="32"/>
      <c r="G18" s="32"/>
      <c r="H18" s="32"/>
      <c r="I18" s="32"/>
      <c r="J18" s="32"/>
      <c r="K18" s="36"/>
      <c r="L18" s="37"/>
      <c r="M18" s="37"/>
      <c r="N18" s="37"/>
      <c r="O18" s="33"/>
      <c r="P18" s="33"/>
      <c r="Q18" s="33"/>
      <c r="R18" s="34"/>
      <c r="S18" s="34"/>
      <c r="T18" s="42"/>
      <c r="U18" s="43"/>
      <c r="V18" s="35"/>
      <c r="W18" s="35"/>
      <c r="X18" s="35"/>
      <c r="Y18" s="35"/>
      <c r="Z18" s="40"/>
      <c r="AA18" s="41"/>
      <c r="AB18" s="35"/>
      <c r="AC18" s="35"/>
      <c r="AD18" s="38"/>
      <c r="AE18" s="38"/>
      <c r="AF18" s="35"/>
      <c r="AG18" s="35"/>
      <c r="AH18" s="29"/>
      <c r="AI18" s="29"/>
      <c r="AJ18" s="30"/>
      <c r="AK18" s="30"/>
      <c r="AL18" s="30"/>
      <c r="AM18" s="30"/>
    </row>
    <row r="19" spans="1:39" x14ac:dyDescent="0.25">
      <c r="A19" s="30"/>
      <c r="B19" s="30"/>
      <c r="C19" s="30"/>
      <c r="D19" s="30"/>
      <c r="E19" s="31"/>
      <c r="F19" s="32"/>
      <c r="G19" s="32"/>
      <c r="H19" s="32"/>
      <c r="I19" s="32"/>
      <c r="J19" s="32"/>
      <c r="K19" s="36"/>
      <c r="L19" s="37"/>
      <c r="M19" s="37"/>
      <c r="N19" s="37"/>
      <c r="O19" s="33"/>
      <c r="P19" s="33"/>
      <c r="Q19" s="33"/>
      <c r="R19" s="34"/>
      <c r="S19" s="34"/>
      <c r="T19" s="42"/>
      <c r="U19" s="43"/>
      <c r="V19" s="35"/>
      <c r="W19" s="35"/>
      <c r="X19" s="35"/>
      <c r="Y19" s="35"/>
      <c r="Z19" s="40"/>
      <c r="AA19" s="41"/>
      <c r="AB19" s="35"/>
      <c r="AC19" s="35"/>
      <c r="AD19" s="38"/>
      <c r="AE19" s="38"/>
      <c r="AF19" s="35"/>
      <c r="AG19" s="35"/>
      <c r="AH19" s="29"/>
      <c r="AI19" s="29"/>
      <c r="AJ19" s="30"/>
      <c r="AK19" s="30"/>
      <c r="AL19" s="30"/>
      <c r="AM19" s="30"/>
    </row>
    <row r="20" spans="1:39" x14ac:dyDescent="0.25">
      <c r="A20" s="30"/>
      <c r="B20" s="30"/>
      <c r="C20" s="30"/>
      <c r="D20" s="30"/>
      <c r="E20" s="31"/>
      <c r="F20" s="32"/>
      <c r="G20" s="32"/>
      <c r="H20" s="32"/>
      <c r="I20" s="32"/>
      <c r="J20" s="32"/>
      <c r="K20" s="36"/>
      <c r="L20" s="37"/>
      <c r="M20" s="37"/>
      <c r="N20" s="37"/>
      <c r="O20" s="33"/>
      <c r="P20" s="33"/>
      <c r="Q20" s="33"/>
      <c r="R20" s="34"/>
      <c r="S20" s="34"/>
      <c r="T20" s="42"/>
      <c r="U20" s="43"/>
      <c r="V20" s="35"/>
      <c r="W20" s="35"/>
      <c r="X20" s="35"/>
      <c r="Y20" s="35"/>
      <c r="Z20" s="40"/>
      <c r="AA20" s="41"/>
      <c r="AB20" s="35"/>
      <c r="AC20" s="35"/>
      <c r="AD20" s="38"/>
      <c r="AE20" s="38"/>
      <c r="AF20" s="35"/>
      <c r="AG20" s="35"/>
      <c r="AH20" s="29"/>
      <c r="AI20" s="29"/>
      <c r="AJ20" s="30"/>
      <c r="AK20" s="30"/>
      <c r="AL20" s="30"/>
      <c r="AM20" s="30"/>
    </row>
  </sheetData>
  <mergeCells count="336">
    <mergeCell ref="AR1:AS1"/>
    <mergeCell ref="AR2:AS2"/>
    <mergeCell ref="AR3:AS3"/>
    <mergeCell ref="AR4:AS4"/>
    <mergeCell ref="AR5:AS5"/>
    <mergeCell ref="AN6:AO6"/>
    <mergeCell ref="AN1:AO1"/>
    <mergeCell ref="AN2:AO2"/>
    <mergeCell ref="AN3:AO3"/>
    <mergeCell ref="AN4:AO4"/>
    <mergeCell ref="AN5:AO5"/>
    <mergeCell ref="AP1:AQ1"/>
    <mergeCell ref="AP2:AQ2"/>
    <mergeCell ref="AP3:AQ3"/>
    <mergeCell ref="AP4:AQ4"/>
    <mergeCell ref="AP5:AQ5"/>
    <mergeCell ref="AL15:AM15"/>
    <mergeCell ref="AL16:AM16"/>
    <mergeCell ref="AL17:AM17"/>
    <mergeCell ref="AL18:AM18"/>
    <mergeCell ref="AL19:AM19"/>
    <mergeCell ref="AL20:AM20"/>
    <mergeCell ref="AL9:AM9"/>
    <mergeCell ref="AL10:AM10"/>
    <mergeCell ref="AL11:AM11"/>
    <mergeCell ref="AL12:AM12"/>
    <mergeCell ref="AL13:AM13"/>
    <mergeCell ref="AL14:AM14"/>
    <mergeCell ref="AJ19:AK19"/>
    <mergeCell ref="AJ20:AK20"/>
    <mergeCell ref="AL1:AM1"/>
    <mergeCell ref="AL2:AM2"/>
    <mergeCell ref="AL3:AM3"/>
    <mergeCell ref="AL4:AM4"/>
    <mergeCell ref="AL5:AM5"/>
    <mergeCell ref="AL6:AM6"/>
    <mergeCell ref="AL7:AM7"/>
    <mergeCell ref="AL8:AM8"/>
    <mergeCell ref="AJ13:AK13"/>
    <mergeCell ref="AJ14:AK14"/>
    <mergeCell ref="AJ15:AK15"/>
    <mergeCell ref="AJ16:AK16"/>
    <mergeCell ref="AJ17:AK17"/>
    <mergeCell ref="AJ18:AK18"/>
    <mergeCell ref="AJ7:AK7"/>
    <mergeCell ref="AJ8:AK8"/>
    <mergeCell ref="AJ9:AK9"/>
    <mergeCell ref="AJ10:AK10"/>
    <mergeCell ref="AJ11:AK11"/>
    <mergeCell ref="AJ12:AK12"/>
    <mergeCell ref="AJ1:AK1"/>
    <mergeCell ref="AJ2:AK2"/>
    <mergeCell ref="AJ3:AK3"/>
    <mergeCell ref="AJ4:AK4"/>
    <mergeCell ref="AJ5:AK5"/>
    <mergeCell ref="AJ6:AK6"/>
    <mergeCell ref="T15:U15"/>
    <mergeCell ref="T16:U16"/>
    <mergeCell ref="T17:U17"/>
    <mergeCell ref="T18:U18"/>
    <mergeCell ref="T19:U19"/>
    <mergeCell ref="T20:U20"/>
    <mergeCell ref="T9:U9"/>
    <mergeCell ref="T10:U10"/>
    <mergeCell ref="T11:U11"/>
    <mergeCell ref="T12:U12"/>
    <mergeCell ref="T13:U13"/>
    <mergeCell ref="T14:U14"/>
    <mergeCell ref="T3:U3"/>
    <mergeCell ref="T4:U4"/>
    <mergeCell ref="T5:U5"/>
    <mergeCell ref="T6:U6"/>
    <mergeCell ref="T7:U7"/>
    <mergeCell ref="T8:U8"/>
    <mergeCell ref="AH15:AI15"/>
    <mergeCell ref="AH16:AI16"/>
    <mergeCell ref="AH17:AI17"/>
    <mergeCell ref="AH18:AI18"/>
    <mergeCell ref="AH19:AI19"/>
    <mergeCell ref="AH20:AI20"/>
    <mergeCell ref="AH9:AI9"/>
    <mergeCell ref="AH10:AI10"/>
    <mergeCell ref="AH11:AI11"/>
    <mergeCell ref="AH12:AI12"/>
    <mergeCell ref="AH13:AI13"/>
    <mergeCell ref="AH14:AI14"/>
    <mergeCell ref="AH3:AI3"/>
    <mergeCell ref="AH4:AI4"/>
    <mergeCell ref="AH5:AI5"/>
    <mergeCell ref="AH6:AI6"/>
    <mergeCell ref="AH7:AI7"/>
    <mergeCell ref="AH8:AI8"/>
    <mergeCell ref="AF15:AG15"/>
    <mergeCell ref="AF16:AG16"/>
    <mergeCell ref="AF17:AG17"/>
    <mergeCell ref="AF18:AG18"/>
    <mergeCell ref="AF19:AG19"/>
    <mergeCell ref="AF20:AG20"/>
    <mergeCell ref="AF9:AG9"/>
    <mergeCell ref="AF10:AG10"/>
    <mergeCell ref="AF11:AG11"/>
    <mergeCell ref="AF12:AG12"/>
    <mergeCell ref="AF13:AG13"/>
    <mergeCell ref="AF14:AG14"/>
    <mergeCell ref="AF3:AG3"/>
    <mergeCell ref="AF4:AG4"/>
    <mergeCell ref="AF5:AG5"/>
    <mergeCell ref="AF6:AG6"/>
    <mergeCell ref="AF7:AG7"/>
    <mergeCell ref="AF8:AG8"/>
    <mergeCell ref="AD15:AE15"/>
    <mergeCell ref="AD16:AE16"/>
    <mergeCell ref="AD17:AE17"/>
    <mergeCell ref="AD18:AE18"/>
    <mergeCell ref="AD19:AE19"/>
    <mergeCell ref="AD20:AE20"/>
    <mergeCell ref="AD9:AE9"/>
    <mergeCell ref="AD10:AE10"/>
    <mergeCell ref="AD11:AE11"/>
    <mergeCell ref="AD12:AE12"/>
    <mergeCell ref="AD13:AE13"/>
    <mergeCell ref="AD14:AE14"/>
    <mergeCell ref="AD3:AE3"/>
    <mergeCell ref="AD4:AE4"/>
    <mergeCell ref="AD5:AE5"/>
    <mergeCell ref="AD6:AE6"/>
    <mergeCell ref="AD7:AE7"/>
    <mergeCell ref="AD8:AE8"/>
    <mergeCell ref="AB15:AC15"/>
    <mergeCell ref="AB16:AC16"/>
    <mergeCell ref="AB17:AC17"/>
    <mergeCell ref="AB18:AC18"/>
    <mergeCell ref="AB19:AC19"/>
    <mergeCell ref="AB20:AC20"/>
    <mergeCell ref="AB9:AC9"/>
    <mergeCell ref="AB10:AC10"/>
    <mergeCell ref="AB11:AC11"/>
    <mergeCell ref="AB12:AC12"/>
    <mergeCell ref="AB13:AC13"/>
    <mergeCell ref="AB14:AC14"/>
    <mergeCell ref="AB3:AC3"/>
    <mergeCell ref="AB4:AC4"/>
    <mergeCell ref="AB5:AC5"/>
    <mergeCell ref="AB6:AC6"/>
    <mergeCell ref="AB7:AC7"/>
    <mergeCell ref="AB8:AC8"/>
    <mergeCell ref="Z15:AA15"/>
    <mergeCell ref="Z16:AA16"/>
    <mergeCell ref="Z17:AA17"/>
    <mergeCell ref="Z18:AA18"/>
    <mergeCell ref="Z19:AA19"/>
    <mergeCell ref="Z20:AA20"/>
    <mergeCell ref="Z9:AA9"/>
    <mergeCell ref="Z10:AA10"/>
    <mergeCell ref="Z11:AA11"/>
    <mergeCell ref="Z12:AA12"/>
    <mergeCell ref="Z13:AA13"/>
    <mergeCell ref="Z14:AA14"/>
    <mergeCell ref="Z3:AA3"/>
    <mergeCell ref="Z4:AA4"/>
    <mergeCell ref="Z5:AA5"/>
    <mergeCell ref="Z6:AA6"/>
    <mergeCell ref="Z7:AA7"/>
    <mergeCell ref="Z8:AA8"/>
    <mergeCell ref="X15:Y15"/>
    <mergeCell ref="X16:Y16"/>
    <mergeCell ref="X17:Y17"/>
    <mergeCell ref="X18:Y18"/>
    <mergeCell ref="X19:Y19"/>
    <mergeCell ref="X20:Y20"/>
    <mergeCell ref="X9:Y9"/>
    <mergeCell ref="X10:Y10"/>
    <mergeCell ref="X11:Y11"/>
    <mergeCell ref="X12:Y12"/>
    <mergeCell ref="X13:Y13"/>
    <mergeCell ref="X14:Y14"/>
    <mergeCell ref="X3:Y3"/>
    <mergeCell ref="X4:Y4"/>
    <mergeCell ref="X5:Y5"/>
    <mergeCell ref="X6:Y6"/>
    <mergeCell ref="X7:Y7"/>
    <mergeCell ref="X8:Y8"/>
    <mergeCell ref="V15:W15"/>
    <mergeCell ref="V16:W16"/>
    <mergeCell ref="V17:W17"/>
    <mergeCell ref="V18:W18"/>
    <mergeCell ref="V19:W19"/>
    <mergeCell ref="V20:W20"/>
    <mergeCell ref="V9:W9"/>
    <mergeCell ref="V10:W10"/>
    <mergeCell ref="V11:W11"/>
    <mergeCell ref="V12:W12"/>
    <mergeCell ref="V13:W13"/>
    <mergeCell ref="V14:W14"/>
    <mergeCell ref="V3:W3"/>
    <mergeCell ref="V4:W4"/>
    <mergeCell ref="V5:W5"/>
    <mergeCell ref="V6:W6"/>
    <mergeCell ref="V7:W7"/>
    <mergeCell ref="V8:W8"/>
    <mergeCell ref="R15:S15"/>
    <mergeCell ref="R16:S16"/>
    <mergeCell ref="R17:S17"/>
    <mergeCell ref="R18:S18"/>
    <mergeCell ref="R19:S19"/>
    <mergeCell ref="R20:S20"/>
    <mergeCell ref="R9:S9"/>
    <mergeCell ref="R10:S10"/>
    <mergeCell ref="R11:S11"/>
    <mergeCell ref="R12:S12"/>
    <mergeCell ref="R13:S13"/>
    <mergeCell ref="R14:S14"/>
    <mergeCell ref="R3:S3"/>
    <mergeCell ref="R4:S4"/>
    <mergeCell ref="R5:S5"/>
    <mergeCell ref="R6:S6"/>
    <mergeCell ref="R7:S7"/>
    <mergeCell ref="R8:S8"/>
    <mergeCell ref="K18:L18"/>
    <mergeCell ref="M18:N18"/>
    <mergeCell ref="K19:L19"/>
    <mergeCell ref="M19:N19"/>
    <mergeCell ref="K20:L20"/>
    <mergeCell ref="M20:N20"/>
    <mergeCell ref="K15:L15"/>
    <mergeCell ref="M15:N15"/>
    <mergeCell ref="K16:L16"/>
    <mergeCell ref="M16:N16"/>
    <mergeCell ref="K17:L17"/>
    <mergeCell ref="M17:N17"/>
    <mergeCell ref="K12:L12"/>
    <mergeCell ref="M12:N12"/>
    <mergeCell ref="K13:L13"/>
    <mergeCell ref="M13:N13"/>
    <mergeCell ref="K14:L14"/>
    <mergeCell ref="M14:N14"/>
    <mergeCell ref="K9:L9"/>
    <mergeCell ref="M9:N9"/>
    <mergeCell ref="K10:L10"/>
    <mergeCell ref="M10:N10"/>
    <mergeCell ref="K11:L11"/>
    <mergeCell ref="M11:N11"/>
    <mergeCell ref="K6:L6"/>
    <mergeCell ref="M6:N6"/>
    <mergeCell ref="K7:L7"/>
    <mergeCell ref="M7:N7"/>
    <mergeCell ref="K8:L8"/>
    <mergeCell ref="M8:N8"/>
    <mergeCell ref="K3:L3"/>
    <mergeCell ref="M3:N3"/>
    <mergeCell ref="K4:L4"/>
    <mergeCell ref="M4:N4"/>
    <mergeCell ref="K5:L5"/>
    <mergeCell ref="M5:N5"/>
    <mergeCell ref="F18:H18"/>
    <mergeCell ref="I18:J18"/>
    <mergeCell ref="F19:H19"/>
    <mergeCell ref="I19:J19"/>
    <mergeCell ref="F20:H20"/>
    <mergeCell ref="I20:J20"/>
    <mergeCell ref="F15:H15"/>
    <mergeCell ref="I15:J15"/>
    <mergeCell ref="F16:H16"/>
    <mergeCell ref="I16:J16"/>
    <mergeCell ref="F17:H17"/>
    <mergeCell ref="I17:J17"/>
    <mergeCell ref="F12:H12"/>
    <mergeCell ref="I12:J12"/>
    <mergeCell ref="F13:H13"/>
    <mergeCell ref="I13:J13"/>
    <mergeCell ref="F14:H14"/>
    <mergeCell ref="I14:J14"/>
    <mergeCell ref="F9:H9"/>
    <mergeCell ref="I9:J9"/>
    <mergeCell ref="F10:H10"/>
    <mergeCell ref="I10:J10"/>
    <mergeCell ref="F11:H11"/>
    <mergeCell ref="I11:J11"/>
    <mergeCell ref="F6:H6"/>
    <mergeCell ref="I6:J6"/>
    <mergeCell ref="F7:H7"/>
    <mergeCell ref="I7:J7"/>
    <mergeCell ref="F8:H8"/>
    <mergeCell ref="I8:J8"/>
    <mergeCell ref="F3:H3"/>
    <mergeCell ref="I3:J3"/>
    <mergeCell ref="F4:H4"/>
    <mergeCell ref="I4:J4"/>
    <mergeCell ref="F5:H5"/>
    <mergeCell ref="I5:J5"/>
    <mergeCell ref="A15:D15"/>
    <mergeCell ref="A16:D16"/>
    <mergeCell ref="A17:D17"/>
    <mergeCell ref="A18:D18"/>
    <mergeCell ref="A19:D19"/>
    <mergeCell ref="A20:D20"/>
    <mergeCell ref="A9:D9"/>
    <mergeCell ref="A10:D10"/>
    <mergeCell ref="A11:D11"/>
    <mergeCell ref="A12:D12"/>
    <mergeCell ref="A13:D13"/>
    <mergeCell ref="A14:D14"/>
    <mergeCell ref="A3:D3"/>
    <mergeCell ref="A4:D4"/>
    <mergeCell ref="A5:D5"/>
    <mergeCell ref="A6:D6"/>
    <mergeCell ref="A7:D7"/>
    <mergeCell ref="A8:D8"/>
    <mergeCell ref="AF1:AG1"/>
    <mergeCell ref="Z2:AA2"/>
    <mergeCell ref="AB2:AC2"/>
    <mergeCell ref="AD2:AE2"/>
    <mergeCell ref="AF2:AG2"/>
    <mergeCell ref="AH1:AI1"/>
    <mergeCell ref="AH2:AI2"/>
    <mergeCell ref="X1:Y1"/>
    <mergeCell ref="V2:W2"/>
    <mergeCell ref="X2:Y2"/>
    <mergeCell ref="Z1:AA1"/>
    <mergeCell ref="AB1:AC1"/>
    <mergeCell ref="AD1:AE1"/>
    <mergeCell ref="R1:S1"/>
    <mergeCell ref="R2:S2"/>
    <mergeCell ref="T1:U1"/>
    <mergeCell ref="T2:U2"/>
    <mergeCell ref="V1:W1"/>
    <mergeCell ref="A1:D1"/>
    <mergeCell ref="F1:H1"/>
    <mergeCell ref="I1:J1"/>
    <mergeCell ref="K1:L1"/>
    <mergeCell ref="M1:N1"/>
    <mergeCell ref="A2:D2"/>
    <mergeCell ref="F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Store Projections</vt:lpstr>
      <vt:lpstr>Hardware Total</vt:lpstr>
      <vt:lpstr>Hardware Stock</vt:lpstr>
      <vt:lpstr>Hardware SameSame</vt:lpstr>
      <vt:lpstr>Hardware O'Comptoir</vt:lpstr>
      <vt:lpstr>Hardware CuzCup</vt:lpstr>
      <vt:lpstr>Product Gain Calculator</vt:lpstr>
    </vt:vector>
  </TitlesOfParts>
  <Company>Ahold Delhaize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Abdelaziz Belghiti - external</dc:creator>
  <cp:lastModifiedBy>Abdelaziz Belghiti - external</cp:lastModifiedBy>
  <dcterms:created xsi:type="dcterms:W3CDTF">2024-02-15T13:08:20Z</dcterms:created>
  <dcterms:modified xsi:type="dcterms:W3CDTF">2024-11-19T10:00:14Z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2024-02-15T13:25:20Z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4d3f3695-2abd-4a49-8ad2-5f3c251cef64</vt:lpwstr>
  </property>
  <property fmtid="{D5CDD505-2E9C-101B-9397-08002B2CF9AE}" pid="8" name="MSIP_Label_a1113265-c559-4850-9a4d-5c092dbd21ac_ContentBits">
    <vt:lpwstr>0</vt:lpwstr>
  </property>
</Properties>
</file>